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b\Downloads\"/>
    </mc:Choice>
  </mc:AlternateContent>
  <xr:revisionPtr revIDLastSave="0" documentId="13_ncr:1_{9B3472AD-2032-489B-9E7D-BF7C3B3787EA}" xr6:coauthVersionLast="47" xr6:coauthVersionMax="47" xr10:uidLastSave="{00000000-0000-0000-0000-000000000000}"/>
  <bookViews>
    <workbookView xWindow="-120" yWindow="-120" windowWidth="20730" windowHeight="11310" activeTab="2" xr2:uid="{1E77F703-9342-4493-88BF-8DE74040652E}"/>
  </bookViews>
  <sheets>
    <sheet name="Settings" sheetId="2" r:id="rId1"/>
    <sheet name="Bookkeeping" sheetId="3" r:id="rId2"/>
    <sheet name="Summary Reports" sheetId="4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4" l="1"/>
  <c r="D56" i="4" s="1"/>
  <c r="C55" i="4"/>
  <c r="D55" i="4" s="1"/>
  <c r="C50" i="4"/>
  <c r="D50" i="4" s="1"/>
  <c r="C49" i="4"/>
  <c r="D49" i="4" s="1"/>
  <c r="C48" i="4"/>
  <c r="D48" i="4" s="1"/>
  <c r="C43" i="4"/>
  <c r="D43" i="4" s="1"/>
  <c r="C42" i="4"/>
  <c r="D42" i="4" s="1"/>
  <c r="C41" i="4"/>
  <c r="D41" i="4" s="1"/>
  <c r="C40" i="4"/>
  <c r="D40" i="4" s="1"/>
  <c r="C39" i="4"/>
  <c r="D39" i="4" s="1"/>
  <c r="C38" i="4"/>
  <c r="D38" i="4" s="1"/>
  <c r="C37" i="4"/>
  <c r="D37" i="4" s="1"/>
  <c r="C36" i="4"/>
  <c r="D36" i="4" s="1"/>
  <c r="C35" i="4"/>
  <c r="D35" i="4" s="1"/>
  <c r="C34" i="4"/>
  <c r="D34" i="4" s="1"/>
  <c r="C33" i="4"/>
  <c r="D33" i="4" s="1"/>
  <c r="C32" i="4"/>
  <c r="D32" i="4" s="1"/>
  <c r="C31" i="4"/>
  <c r="D31" i="4" s="1"/>
  <c r="C30" i="4"/>
  <c r="D30" i="4" s="1"/>
  <c r="C29" i="4"/>
  <c r="D29" i="4" s="1"/>
  <c r="C28" i="4"/>
  <c r="D28" i="4" s="1"/>
  <c r="C27" i="4"/>
  <c r="D27" i="4" s="1"/>
  <c r="C26" i="4"/>
  <c r="D26" i="4" s="1"/>
  <c r="C25" i="4"/>
  <c r="D25" i="4" s="1"/>
  <c r="C24" i="4"/>
  <c r="D24" i="4" s="1"/>
  <c r="C23" i="4"/>
  <c r="D23" i="4" s="1"/>
  <c r="C22" i="4"/>
  <c r="D22" i="4" s="1"/>
  <c r="C21" i="4"/>
  <c r="D21" i="4" s="1"/>
  <c r="C20" i="4"/>
  <c r="D20" i="4" s="1"/>
  <c r="C19" i="4"/>
  <c r="D19" i="4" s="1"/>
  <c r="C14" i="4"/>
  <c r="D14" i="4" s="1"/>
  <c r="C13" i="4"/>
  <c r="D13" i="4" s="1"/>
  <c r="C12" i="4"/>
  <c r="G11" i="4"/>
  <c r="G10" i="4"/>
  <c r="G9" i="4"/>
  <c r="H9" i="4" s="1"/>
  <c r="C9" i="4"/>
  <c r="D9" i="4" s="1"/>
  <c r="G8" i="4"/>
  <c r="H8" i="4" s="1"/>
  <c r="C8" i="4"/>
  <c r="D8" i="4" s="1"/>
  <c r="G7" i="4"/>
  <c r="H7" i="4" s="1"/>
  <c r="C7" i="4"/>
  <c r="D7" i="4" s="1"/>
  <c r="F4" i="4"/>
  <c r="B4" i="4"/>
  <c r="B2" i="4"/>
  <c r="K1005" i="3"/>
  <c r="J1005" i="3"/>
  <c r="G1005" i="3"/>
  <c r="C1005" i="3"/>
  <c r="K1004" i="3"/>
  <c r="J1004" i="3"/>
  <c r="G1004" i="3"/>
  <c r="C1004" i="3"/>
  <c r="K1003" i="3"/>
  <c r="J1003" i="3"/>
  <c r="G1003" i="3"/>
  <c r="C1003" i="3"/>
  <c r="K1002" i="3"/>
  <c r="J1002" i="3"/>
  <c r="G1002" i="3"/>
  <c r="C1002" i="3"/>
  <c r="K1001" i="3"/>
  <c r="J1001" i="3"/>
  <c r="G1001" i="3"/>
  <c r="C1001" i="3"/>
  <c r="K1000" i="3"/>
  <c r="J1000" i="3"/>
  <c r="G1000" i="3"/>
  <c r="C1000" i="3"/>
  <c r="K999" i="3"/>
  <c r="J999" i="3"/>
  <c r="G999" i="3"/>
  <c r="C999" i="3"/>
  <c r="K998" i="3"/>
  <c r="J998" i="3"/>
  <c r="G998" i="3"/>
  <c r="C998" i="3"/>
  <c r="K997" i="3"/>
  <c r="J997" i="3"/>
  <c r="G997" i="3"/>
  <c r="C997" i="3"/>
  <c r="K996" i="3"/>
  <c r="J996" i="3"/>
  <c r="G996" i="3"/>
  <c r="C996" i="3"/>
  <c r="K995" i="3"/>
  <c r="J995" i="3"/>
  <c r="G995" i="3"/>
  <c r="C995" i="3"/>
  <c r="K994" i="3"/>
  <c r="J994" i="3"/>
  <c r="G994" i="3"/>
  <c r="C994" i="3"/>
  <c r="K993" i="3"/>
  <c r="J993" i="3"/>
  <c r="G993" i="3"/>
  <c r="C993" i="3"/>
  <c r="K992" i="3"/>
  <c r="J992" i="3"/>
  <c r="G992" i="3"/>
  <c r="C992" i="3"/>
  <c r="K991" i="3"/>
  <c r="J991" i="3"/>
  <c r="G991" i="3"/>
  <c r="C991" i="3"/>
  <c r="K990" i="3"/>
  <c r="J990" i="3"/>
  <c r="G990" i="3"/>
  <c r="C990" i="3"/>
  <c r="K989" i="3"/>
  <c r="J989" i="3"/>
  <c r="G989" i="3"/>
  <c r="C989" i="3"/>
  <c r="K988" i="3"/>
  <c r="J988" i="3"/>
  <c r="G988" i="3"/>
  <c r="C988" i="3"/>
  <c r="K987" i="3"/>
  <c r="J987" i="3"/>
  <c r="G987" i="3"/>
  <c r="C987" i="3"/>
  <c r="K986" i="3"/>
  <c r="J986" i="3"/>
  <c r="G986" i="3"/>
  <c r="C986" i="3"/>
  <c r="K985" i="3"/>
  <c r="J985" i="3"/>
  <c r="G985" i="3"/>
  <c r="C985" i="3"/>
  <c r="K984" i="3"/>
  <c r="J984" i="3"/>
  <c r="G984" i="3"/>
  <c r="C984" i="3"/>
  <c r="K983" i="3"/>
  <c r="J983" i="3"/>
  <c r="G983" i="3"/>
  <c r="C983" i="3"/>
  <c r="K982" i="3"/>
  <c r="J982" i="3"/>
  <c r="G982" i="3"/>
  <c r="C982" i="3"/>
  <c r="K981" i="3"/>
  <c r="J981" i="3"/>
  <c r="G981" i="3"/>
  <c r="C981" i="3"/>
  <c r="K980" i="3"/>
  <c r="J980" i="3"/>
  <c r="G980" i="3"/>
  <c r="C980" i="3"/>
  <c r="K979" i="3"/>
  <c r="J979" i="3"/>
  <c r="G979" i="3"/>
  <c r="C979" i="3"/>
  <c r="K978" i="3"/>
  <c r="J978" i="3"/>
  <c r="G978" i="3"/>
  <c r="C978" i="3"/>
  <c r="K977" i="3"/>
  <c r="J977" i="3"/>
  <c r="G977" i="3"/>
  <c r="C977" i="3"/>
  <c r="K976" i="3"/>
  <c r="J976" i="3"/>
  <c r="G976" i="3"/>
  <c r="C976" i="3"/>
  <c r="K975" i="3"/>
  <c r="J975" i="3"/>
  <c r="G975" i="3"/>
  <c r="C975" i="3"/>
  <c r="K974" i="3"/>
  <c r="J974" i="3"/>
  <c r="G974" i="3"/>
  <c r="C974" i="3"/>
  <c r="K973" i="3"/>
  <c r="J973" i="3"/>
  <c r="G973" i="3"/>
  <c r="C973" i="3"/>
  <c r="K972" i="3"/>
  <c r="J972" i="3"/>
  <c r="G972" i="3"/>
  <c r="C972" i="3"/>
  <c r="K971" i="3"/>
  <c r="J971" i="3"/>
  <c r="G971" i="3"/>
  <c r="C971" i="3"/>
  <c r="K970" i="3"/>
  <c r="J970" i="3"/>
  <c r="G970" i="3"/>
  <c r="C970" i="3"/>
  <c r="K969" i="3"/>
  <c r="J969" i="3"/>
  <c r="G969" i="3"/>
  <c r="C969" i="3"/>
  <c r="K968" i="3"/>
  <c r="J968" i="3"/>
  <c r="G968" i="3"/>
  <c r="C968" i="3"/>
  <c r="K967" i="3"/>
  <c r="J967" i="3"/>
  <c r="G967" i="3"/>
  <c r="C967" i="3"/>
  <c r="K966" i="3"/>
  <c r="J966" i="3"/>
  <c r="G966" i="3"/>
  <c r="C966" i="3"/>
  <c r="K965" i="3"/>
  <c r="J965" i="3"/>
  <c r="G965" i="3"/>
  <c r="C965" i="3"/>
  <c r="K964" i="3"/>
  <c r="J964" i="3"/>
  <c r="G964" i="3"/>
  <c r="C964" i="3"/>
  <c r="K963" i="3"/>
  <c r="J963" i="3"/>
  <c r="G963" i="3"/>
  <c r="C963" i="3"/>
  <c r="K962" i="3"/>
  <c r="J962" i="3"/>
  <c r="G962" i="3"/>
  <c r="C962" i="3"/>
  <c r="K961" i="3"/>
  <c r="J961" i="3"/>
  <c r="G961" i="3"/>
  <c r="C961" i="3"/>
  <c r="K960" i="3"/>
  <c r="J960" i="3"/>
  <c r="G960" i="3"/>
  <c r="C960" i="3"/>
  <c r="K959" i="3"/>
  <c r="J959" i="3"/>
  <c r="G959" i="3"/>
  <c r="C959" i="3"/>
  <c r="K958" i="3"/>
  <c r="J958" i="3"/>
  <c r="G958" i="3"/>
  <c r="C958" i="3"/>
  <c r="K957" i="3"/>
  <c r="J957" i="3"/>
  <c r="G957" i="3"/>
  <c r="C957" i="3"/>
  <c r="K956" i="3"/>
  <c r="J956" i="3"/>
  <c r="G956" i="3"/>
  <c r="C956" i="3"/>
  <c r="K955" i="3"/>
  <c r="J955" i="3"/>
  <c r="G955" i="3"/>
  <c r="C955" i="3"/>
  <c r="K954" i="3"/>
  <c r="J954" i="3"/>
  <c r="G954" i="3"/>
  <c r="C954" i="3"/>
  <c r="K953" i="3"/>
  <c r="J953" i="3"/>
  <c r="G953" i="3"/>
  <c r="C953" i="3"/>
  <c r="K952" i="3"/>
  <c r="J952" i="3"/>
  <c r="G952" i="3"/>
  <c r="C952" i="3"/>
  <c r="K951" i="3"/>
  <c r="J951" i="3"/>
  <c r="G951" i="3"/>
  <c r="C951" i="3"/>
  <c r="K950" i="3"/>
  <c r="J950" i="3"/>
  <c r="G950" i="3"/>
  <c r="C950" i="3"/>
  <c r="K949" i="3"/>
  <c r="J949" i="3"/>
  <c r="G949" i="3"/>
  <c r="C949" i="3"/>
  <c r="K948" i="3"/>
  <c r="J948" i="3"/>
  <c r="G948" i="3"/>
  <c r="C948" i="3"/>
  <c r="K947" i="3"/>
  <c r="J947" i="3"/>
  <c r="G947" i="3"/>
  <c r="C947" i="3"/>
  <c r="K946" i="3"/>
  <c r="J946" i="3"/>
  <c r="G946" i="3"/>
  <c r="C946" i="3"/>
  <c r="K945" i="3"/>
  <c r="J945" i="3"/>
  <c r="G945" i="3"/>
  <c r="C945" i="3"/>
  <c r="K944" i="3"/>
  <c r="J944" i="3"/>
  <c r="G944" i="3"/>
  <c r="C944" i="3"/>
  <c r="K943" i="3"/>
  <c r="J943" i="3"/>
  <c r="G943" i="3"/>
  <c r="C943" i="3"/>
  <c r="K942" i="3"/>
  <c r="J942" i="3"/>
  <c r="G942" i="3"/>
  <c r="C942" i="3"/>
  <c r="K941" i="3"/>
  <c r="J941" i="3"/>
  <c r="G941" i="3"/>
  <c r="C941" i="3"/>
  <c r="K940" i="3"/>
  <c r="J940" i="3"/>
  <c r="G940" i="3"/>
  <c r="C940" i="3"/>
  <c r="K939" i="3"/>
  <c r="J939" i="3"/>
  <c r="G939" i="3"/>
  <c r="C939" i="3"/>
  <c r="K938" i="3"/>
  <c r="J938" i="3"/>
  <c r="G938" i="3"/>
  <c r="C938" i="3"/>
  <c r="K937" i="3"/>
  <c r="J937" i="3"/>
  <c r="G937" i="3"/>
  <c r="C937" i="3"/>
  <c r="K936" i="3"/>
  <c r="J936" i="3"/>
  <c r="G936" i="3"/>
  <c r="C936" i="3"/>
  <c r="K935" i="3"/>
  <c r="J935" i="3"/>
  <c r="G935" i="3"/>
  <c r="C935" i="3"/>
  <c r="K934" i="3"/>
  <c r="J934" i="3"/>
  <c r="G934" i="3"/>
  <c r="C934" i="3"/>
  <c r="K933" i="3"/>
  <c r="J933" i="3"/>
  <c r="G933" i="3"/>
  <c r="C933" i="3"/>
  <c r="K932" i="3"/>
  <c r="J932" i="3"/>
  <c r="G932" i="3"/>
  <c r="C932" i="3"/>
  <c r="K931" i="3"/>
  <c r="J931" i="3"/>
  <c r="G931" i="3"/>
  <c r="C931" i="3"/>
  <c r="K930" i="3"/>
  <c r="J930" i="3"/>
  <c r="G930" i="3"/>
  <c r="C930" i="3"/>
  <c r="K929" i="3"/>
  <c r="J929" i="3"/>
  <c r="G929" i="3"/>
  <c r="C929" i="3"/>
  <c r="K928" i="3"/>
  <c r="J928" i="3"/>
  <c r="G928" i="3"/>
  <c r="C928" i="3"/>
  <c r="K927" i="3"/>
  <c r="J927" i="3"/>
  <c r="G927" i="3"/>
  <c r="C927" i="3"/>
  <c r="K926" i="3"/>
  <c r="J926" i="3"/>
  <c r="G926" i="3"/>
  <c r="C926" i="3"/>
  <c r="K925" i="3"/>
  <c r="J925" i="3"/>
  <c r="G925" i="3"/>
  <c r="C925" i="3"/>
  <c r="K924" i="3"/>
  <c r="J924" i="3"/>
  <c r="G924" i="3"/>
  <c r="C924" i="3"/>
  <c r="K923" i="3"/>
  <c r="J923" i="3"/>
  <c r="G923" i="3"/>
  <c r="C923" i="3"/>
  <c r="K922" i="3"/>
  <c r="J922" i="3"/>
  <c r="G922" i="3"/>
  <c r="C922" i="3"/>
  <c r="K921" i="3"/>
  <c r="J921" i="3"/>
  <c r="G921" i="3"/>
  <c r="C921" i="3"/>
  <c r="K920" i="3"/>
  <c r="J920" i="3"/>
  <c r="G920" i="3"/>
  <c r="C920" i="3"/>
  <c r="K919" i="3"/>
  <c r="J919" i="3"/>
  <c r="G919" i="3"/>
  <c r="C919" i="3"/>
  <c r="K918" i="3"/>
  <c r="J918" i="3"/>
  <c r="G918" i="3"/>
  <c r="C918" i="3"/>
  <c r="K917" i="3"/>
  <c r="J917" i="3"/>
  <c r="G917" i="3"/>
  <c r="C917" i="3"/>
  <c r="K916" i="3"/>
  <c r="J916" i="3"/>
  <c r="G916" i="3"/>
  <c r="C916" i="3"/>
  <c r="K915" i="3"/>
  <c r="J915" i="3"/>
  <c r="G915" i="3"/>
  <c r="C915" i="3"/>
  <c r="K914" i="3"/>
  <c r="J914" i="3"/>
  <c r="G914" i="3"/>
  <c r="C914" i="3"/>
  <c r="K913" i="3"/>
  <c r="J913" i="3"/>
  <c r="G913" i="3"/>
  <c r="C913" i="3"/>
  <c r="K912" i="3"/>
  <c r="J912" i="3"/>
  <c r="G912" i="3"/>
  <c r="C912" i="3"/>
  <c r="K911" i="3"/>
  <c r="J911" i="3"/>
  <c r="G911" i="3"/>
  <c r="C911" i="3"/>
  <c r="K910" i="3"/>
  <c r="J910" i="3"/>
  <c r="G910" i="3"/>
  <c r="C910" i="3"/>
  <c r="K909" i="3"/>
  <c r="J909" i="3"/>
  <c r="G909" i="3"/>
  <c r="C909" i="3"/>
  <c r="K908" i="3"/>
  <c r="J908" i="3"/>
  <c r="G908" i="3"/>
  <c r="C908" i="3"/>
  <c r="K907" i="3"/>
  <c r="J907" i="3"/>
  <c r="G907" i="3"/>
  <c r="C907" i="3"/>
  <c r="K906" i="3"/>
  <c r="J906" i="3"/>
  <c r="G906" i="3"/>
  <c r="C906" i="3"/>
  <c r="K905" i="3"/>
  <c r="J905" i="3"/>
  <c r="G905" i="3"/>
  <c r="C905" i="3"/>
  <c r="K904" i="3"/>
  <c r="J904" i="3"/>
  <c r="G904" i="3"/>
  <c r="C904" i="3"/>
  <c r="K903" i="3"/>
  <c r="J903" i="3"/>
  <c r="G903" i="3"/>
  <c r="C903" i="3"/>
  <c r="K902" i="3"/>
  <c r="J902" i="3"/>
  <c r="G902" i="3"/>
  <c r="C902" i="3"/>
  <c r="K901" i="3"/>
  <c r="J901" i="3"/>
  <c r="G901" i="3"/>
  <c r="C901" i="3"/>
  <c r="K900" i="3"/>
  <c r="J900" i="3"/>
  <c r="G900" i="3"/>
  <c r="C900" i="3"/>
  <c r="K899" i="3"/>
  <c r="J899" i="3"/>
  <c r="G899" i="3"/>
  <c r="C899" i="3"/>
  <c r="K898" i="3"/>
  <c r="J898" i="3"/>
  <c r="G898" i="3"/>
  <c r="C898" i="3"/>
  <c r="K897" i="3"/>
  <c r="J897" i="3"/>
  <c r="G897" i="3"/>
  <c r="C897" i="3"/>
  <c r="K896" i="3"/>
  <c r="J896" i="3"/>
  <c r="G896" i="3"/>
  <c r="C896" i="3"/>
  <c r="K895" i="3"/>
  <c r="J895" i="3"/>
  <c r="G895" i="3"/>
  <c r="C895" i="3"/>
  <c r="K894" i="3"/>
  <c r="J894" i="3"/>
  <c r="G894" i="3"/>
  <c r="C894" i="3"/>
  <c r="K893" i="3"/>
  <c r="J893" i="3"/>
  <c r="G893" i="3"/>
  <c r="C893" i="3"/>
  <c r="K892" i="3"/>
  <c r="J892" i="3"/>
  <c r="G892" i="3"/>
  <c r="C892" i="3"/>
  <c r="K891" i="3"/>
  <c r="J891" i="3"/>
  <c r="G891" i="3"/>
  <c r="C891" i="3"/>
  <c r="K890" i="3"/>
  <c r="J890" i="3"/>
  <c r="G890" i="3"/>
  <c r="C890" i="3"/>
  <c r="K889" i="3"/>
  <c r="J889" i="3"/>
  <c r="G889" i="3"/>
  <c r="C889" i="3"/>
  <c r="K888" i="3"/>
  <c r="J888" i="3"/>
  <c r="G888" i="3"/>
  <c r="C888" i="3"/>
  <c r="K887" i="3"/>
  <c r="J887" i="3"/>
  <c r="G887" i="3"/>
  <c r="C887" i="3"/>
  <c r="K886" i="3"/>
  <c r="J886" i="3"/>
  <c r="G886" i="3"/>
  <c r="C886" i="3"/>
  <c r="K885" i="3"/>
  <c r="J885" i="3"/>
  <c r="G885" i="3"/>
  <c r="C885" i="3"/>
  <c r="K884" i="3"/>
  <c r="J884" i="3"/>
  <c r="G884" i="3"/>
  <c r="C884" i="3"/>
  <c r="K883" i="3"/>
  <c r="J883" i="3"/>
  <c r="G883" i="3"/>
  <c r="C883" i="3"/>
  <c r="K882" i="3"/>
  <c r="J882" i="3"/>
  <c r="G882" i="3"/>
  <c r="C882" i="3"/>
  <c r="K881" i="3"/>
  <c r="J881" i="3"/>
  <c r="G881" i="3"/>
  <c r="C881" i="3"/>
  <c r="K880" i="3"/>
  <c r="J880" i="3"/>
  <c r="G880" i="3"/>
  <c r="C880" i="3"/>
  <c r="K879" i="3"/>
  <c r="J879" i="3"/>
  <c r="G879" i="3"/>
  <c r="C879" i="3"/>
  <c r="K878" i="3"/>
  <c r="J878" i="3"/>
  <c r="G878" i="3"/>
  <c r="C878" i="3"/>
  <c r="K877" i="3"/>
  <c r="J877" i="3"/>
  <c r="G877" i="3"/>
  <c r="C877" i="3"/>
  <c r="K876" i="3"/>
  <c r="J876" i="3"/>
  <c r="G876" i="3"/>
  <c r="C876" i="3"/>
  <c r="K875" i="3"/>
  <c r="J875" i="3"/>
  <c r="G875" i="3"/>
  <c r="C875" i="3"/>
  <c r="K874" i="3"/>
  <c r="J874" i="3"/>
  <c r="G874" i="3"/>
  <c r="C874" i="3"/>
  <c r="K873" i="3"/>
  <c r="J873" i="3"/>
  <c r="G873" i="3"/>
  <c r="C873" i="3"/>
  <c r="K872" i="3"/>
  <c r="J872" i="3"/>
  <c r="G872" i="3"/>
  <c r="C872" i="3"/>
  <c r="K871" i="3"/>
  <c r="J871" i="3"/>
  <c r="G871" i="3"/>
  <c r="C871" i="3"/>
  <c r="K870" i="3"/>
  <c r="J870" i="3"/>
  <c r="G870" i="3"/>
  <c r="C870" i="3"/>
  <c r="K869" i="3"/>
  <c r="J869" i="3"/>
  <c r="G869" i="3"/>
  <c r="C869" i="3"/>
  <c r="K868" i="3"/>
  <c r="J868" i="3"/>
  <c r="G868" i="3"/>
  <c r="C868" i="3"/>
  <c r="K867" i="3"/>
  <c r="J867" i="3"/>
  <c r="G867" i="3"/>
  <c r="C867" i="3"/>
  <c r="K866" i="3"/>
  <c r="J866" i="3"/>
  <c r="G866" i="3"/>
  <c r="C866" i="3"/>
  <c r="K865" i="3"/>
  <c r="J865" i="3"/>
  <c r="G865" i="3"/>
  <c r="C865" i="3"/>
  <c r="K864" i="3"/>
  <c r="J864" i="3"/>
  <c r="G864" i="3"/>
  <c r="C864" i="3"/>
  <c r="K863" i="3"/>
  <c r="J863" i="3"/>
  <c r="G863" i="3"/>
  <c r="C863" i="3"/>
  <c r="K862" i="3"/>
  <c r="J862" i="3"/>
  <c r="G862" i="3"/>
  <c r="C862" i="3"/>
  <c r="K861" i="3"/>
  <c r="J861" i="3"/>
  <c r="G861" i="3"/>
  <c r="C861" i="3"/>
  <c r="K860" i="3"/>
  <c r="J860" i="3"/>
  <c r="G860" i="3"/>
  <c r="C860" i="3"/>
  <c r="K859" i="3"/>
  <c r="J859" i="3"/>
  <c r="G859" i="3"/>
  <c r="C859" i="3"/>
  <c r="K858" i="3"/>
  <c r="J858" i="3"/>
  <c r="G858" i="3"/>
  <c r="C858" i="3"/>
  <c r="K857" i="3"/>
  <c r="J857" i="3"/>
  <c r="G857" i="3"/>
  <c r="C857" i="3"/>
  <c r="K856" i="3"/>
  <c r="J856" i="3"/>
  <c r="G856" i="3"/>
  <c r="C856" i="3"/>
  <c r="K855" i="3"/>
  <c r="J855" i="3"/>
  <c r="G855" i="3"/>
  <c r="C855" i="3"/>
  <c r="K854" i="3"/>
  <c r="J854" i="3"/>
  <c r="G854" i="3"/>
  <c r="C854" i="3"/>
  <c r="K853" i="3"/>
  <c r="J853" i="3"/>
  <c r="G853" i="3"/>
  <c r="C853" i="3"/>
  <c r="K852" i="3"/>
  <c r="J852" i="3"/>
  <c r="G852" i="3"/>
  <c r="C852" i="3"/>
  <c r="K851" i="3"/>
  <c r="J851" i="3"/>
  <c r="G851" i="3"/>
  <c r="C851" i="3"/>
  <c r="K850" i="3"/>
  <c r="J850" i="3"/>
  <c r="G850" i="3"/>
  <c r="C850" i="3"/>
  <c r="K849" i="3"/>
  <c r="J849" i="3"/>
  <c r="G849" i="3"/>
  <c r="C849" i="3"/>
  <c r="K848" i="3"/>
  <c r="J848" i="3"/>
  <c r="G848" i="3"/>
  <c r="C848" i="3"/>
  <c r="K847" i="3"/>
  <c r="J847" i="3"/>
  <c r="G847" i="3"/>
  <c r="C847" i="3"/>
  <c r="K846" i="3"/>
  <c r="J846" i="3"/>
  <c r="G846" i="3"/>
  <c r="C846" i="3"/>
  <c r="K845" i="3"/>
  <c r="J845" i="3"/>
  <c r="G845" i="3"/>
  <c r="C845" i="3"/>
  <c r="K844" i="3"/>
  <c r="J844" i="3"/>
  <c r="G844" i="3"/>
  <c r="C844" i="3"/>
  <c r="K843" i="3"/>
  <c r="J843" i="3"/>
  <c r="G843" i="3"/>
  <c r="C843" i="3"/>
  <c r="K842" i="3"/>
  <c r="J842" i="3"/>
  <c r="G842" i="3"/>
  <c r="C842" i="3"/>
  <c r="K841" i="3"/>
  <c r="J841" i="3"/>
  <c r="G841" i="3"/>
  <c r="C841" i="3"/>
  <c r="K840" i="3"/>
  <c r="J840" i="3"/>
  <c r="G840" i="3"/>
  <c r="C840" i="3"/>
  <c r="K839" i="3"/>
  <c r="J839" i="3"/>
  <c r="G839" i="3"/>
  <c r="C839" i="3"/>
  <c r="K838" i="3"/>
  <c r="J838" i="3"/>
  <c r="G838" i="3"/>
  <c r="C838" i="3"/>
  <c r="K837" i="3"/>
  <c r="J837" i="3"/>
  <c r="G837" i="3"/>
  <c r="C837" i="3"/>
  <c r="K836" i="3"/>
  <c r="J836" i="3"/>
  <c r="G836" i="3"/>
  <c r="C836" i="3"/>
  <c r="K835" i="3"/>
  <c r="J835" i="3"/>
  <c r="G835" i="3"/>
  <c r="C835" i="3"/>
  <c r="K834" i="3"/>
  <c r="J834" i="3"/>
  <c r="G834" i="3"/>
  <c r="C834" i="3"/>
  <c r="K833" i="3"/>
  <c r="J833" i="3"/>
  <c r="G833" i="3"/>
  <c r="C833" i="3"/>
  <c r="K832" i="3"/>
  <c r="J832" i="3"/>
  <c r="G832" i="3"/>
  <c r="C832" i="3"/>
  <c r="K831" i="3"/>
  <c r="J831" i="3"/>
  <c r="G831" i="3"/>
  <c r="C831" i="3"/>
  <c r="K830" i="3"/>
  <c r="J830" i="3"/>
  <c r="G830" i="3"/>
  <c r="C830" i="3"/>
  <c r="K829" i="3"/>
  <c r="J829" i="3"/>
  <c r="G829" i="3"/>
  <c r="C829" i="3"/>
  <c r="K828" i="3"/>
  <c r="J828" i="3"/>
  <c r="G828" i="3"/>
  <c r="C828" i="3"/>
  <c r="K827" i="3"/>
  <c r="J827" i="3"/>
  <c r="G827" i="3"/>
  <c r="C827" i="3"/>
  <c r="K826" i="3"/>
  <c r="J826" i="3"/>
  <c r="G826" i="3"/>
  <c r="C826" i="3"/>
  <c r="K825" i="3"/>
  <c r="J825" i="3"/>
  <c r="G825" i="3"/>
  <c r="C825" i="3"/>
  <c r="K824" i="3"/>
  <c r="J824" i="3"/>
  <c r="G824" i="3"/>
  <c r="C824" i="3"/>
  <c r="K823" i="3"/>
  <c r="J823" i="3"/>
  <c r="G823" i="3"/>
  <c r="C823" i="3"/>
  <c r="K822" i="3"/>
  <c r="J822" i="3"/>
  <c r="G822" i="3"/>
  <c r="C822" i="3"/>
  <c r="K821" i="3"/>
  <c r="J821" i="3"/>
  <c r="G821" i="3"/>
  <c r="C821" i="3"/>
  <c r="K820" i="3"/>
  <c r="J820" i="3"/>
  <c r="G820" i="3"/>
  <c r="C820" i="3"/>
  <c r="K819" i="3"/>
  <c r="J819" i="3"/>
  <c r="G819" i="3"/>
  <c r="C819" i="3"/>
  <c r="K818" i="3"/>
  <c r="J818" i="3"/>
  <c r="G818" i="3"/>
  <c r="C818" i="3"/>
  <c r="K817" i="3"/>
  <c r="J817" i="3"/>
  <c r="G817" i="3"/>
  <c r="C817" i="3"/>
  <c r="K816" i="3"/>
  <c r="J816" i="3"/>
  <c r="G816" i="3"/>
  <c r="C816" i="3"/>
  <c r="K815" i="3"/>
  <c r="J815" i="3"/>
  <c r="G815" i="3"/>
  <c r="C815" i="3"/>
  <c r="K814" i="3"/>
  <c r="J814" i="3"/>
  <c r="G814" i="3"/>
  <c r="C814" i="3"/>
  <c r="K813" i="3"/>
  <c r="J813" i="3"/>
  <c r="G813" i="3"/>
  <c r="C813" i="3"/>
  <c r="K812" i="3"/>
  <c r="J812" i="3"/>
  <c r="G812" i="3"/>
  <c r="C812" i="3"/>
  <c r="K811" i="3"/>
  <c r="J811" i="3"/>
  <c r="G811" i="3"/>
  <c r="C811" i="3"/>
  <c r="K810" i="3"/>
  <c r="J810" i="3"/>
  <c r="G810" i="3"/>
  <c r="C810" i="3"/>
  <c r="K809" i="3"/>
  <c r="J809" i="3"/>
  <c r="G809" i="3"/>
  <c r="C809" i="3"/>
  <c r="K808" i="3"/>
  <c r="J808" i="3"/>
  <c r="G808" i="3"/>
  <c r="C808" i="3"/>
  <c r="K807" i="3"/>
  <c r="J807" i="3"/>
  <c r="G807" i="3"/>
  <c r="C807" i="3"/>
  <c r="K806" i="3"/>
  <c r="J806" i="3"/>
  <c r="G806" i="3"/>
  <c r="C806" i="3"/>
  <c r="K805" i="3"/>
  <c r="J805" i="3"/>
  <c r="G805" i="3"/>
  <c r="C805" i="3"/>
  <c r="K804" i="3"/>
  <c r="J804" i="3"/>
  <c r="G804" i="3"/>
  <c r="C804" i="3"/>
  <c r="K803" i="3"/>
  <c r="J803" i="3"/>
  <c r="G803" i="3"/>
  <c r="C803" i="3"/>
  <c r="K802" i="3"/>
  <c r="J802" i="3"/>
  <c r="G802" i="3"/>
  <c r="C802" i="3"/>
  <c r="K801" i="3"/>
  <c r="J801" i="3"/>
  <c r="G801" i="3"/>
  <c r="C801" i="3"/>
  <c r="K800" i="3"/>
  <c r="J800" i="3"/>
  <c r="G800" i="3"/>
  <c r="C800" i="3"/>
  <c r="K799" i="3"/>
  <c r="J799" i="3"/>
  <c r="G799" i="3"/>
  <c r="C799" i="3"/>
  <c r="K798" i="3"/>
  <c r="J798" i="3"/>
  <c r="G798" i="3"/>
  <c r="C798" i="3"/>
  <c r="K797" i="3"/>
  <c r="J797" i="3"/>
  <c r="G797" i="3"/>
  <c r="C797" i="3"/>
  <c r="K796" i="3"/>
  <c r="J796" i="3"/>
  <c r="G796" i="3"/>
  <c r="C796" i="3"/>
  <c r="K795" i="3"/>
  <c r="J795" i="3"/>
  <c r="G795" i="3"/>
  <c r="C795" i="3"/>
  <c r="K794" i="3"/>
  <c r="J794" i="3"/>
  <c r="G794" i="3"/>
  <c r="C794" i="3"/>
  <c r="K793" i="3"/>
  <c r="J793" i="3"/>
  <c r="G793" i="3"/>
  <c r="C793" i="3"/>
  <c r="K792" i="3"/>
  <c r="J792" i="3"/>
  <c r="G792" i="3"/>
  <c r="C792" i="3"/>
  <c r="K791" i="3"/>
  <c r="J791" i="3"/>
  <c r="G791" i="3"/>
  <c r="C791" i="3"/>
  <c r="K790" i="3"/>
  <c r="J790" i="3"/>
  <c r="G790" i="3"/>
  <c r="C790" i="3"/>
  <c r="K789" i="3"/>
  <c r="J789" i="3"/>
  <c r="G789" i="3"/>
  <c r="C789" i="3"/>
  <c r="K788" i="3"/>
  <c r="J788" i="3"/>
  <c r="G788" i="3"/>
  <c r="C788" i="3"/>
  <c r="K787" i="3"/>
  <c r="J787" i="3"/>
  <c r="G787" i="3"/>
  <c r="C787" i="3"/>
  <c r="K786" i="3"/>
  <c r="J786" i="3"/>
  <c r="G786" i="3"/>
  <c r="C786" i="3"/>
  <c r="K785" i="3"/>
  <c r="J785" i="3"/>
  <c r="G785" i="3"/>
  <c r="C785" i="3"/>
  <c r="K784" i="3"/>
  <c r="J784" i="3"/>
  <c r="G784" i="3"/>
  <c r="C784" i="3"/>
  <c r="K783" i="3"/>
  <c r="J783" i="3"/>
  <c r="G783" i="3"/>
  <c r="C783" i="3"/>
  <c r="K782" i="3"/>
  <c r="J782" i="3"/>
  <c r="G782" i="3"/>
  <c r="C782" i="3"/>
  <c r="K781" i="3"/>
  <c r="J781" i="3"/>
  <c r="G781" i="3"/>
  <c r="C781" i="3"/>
  <c r="K780" i="3"/>
  <c r="J780" i="3"/>
  <c r="G780" i="3"/>
  <c r="C780" i="3"/>
  <c r="K779" i="3"/>
  <c r="J779" i="3"/>
  <c r="G779" i="3"/>
  <c r="C779" i="3"/>
  <c r="K778" i="3"/>
  <c r="J778" i="3"/>
  <c r="G778" i="3"/>
  <c r="C778" i="3"/>
  <c r="K777" i="3"/>
  <c r="J777" i="3"/>
  <c r="G777" i="3"/>
  <c r="C777" i="3"/>
  <c r="K776" i="3"/>
  <c r="J776" i="3"/>
  <c r="G776" i="3"/>
  <c r="C776" i="3"/>
  <c r="K775" i="3"/>
  <c r="J775" i="3"/>
  <c r="G775" i="3"/>
  <c r="C775" i="3"/>
  <c r="K774" i="3"/>
  <c r="J774" i="3"/>
  <c r="G774" i="3"/>
  <c r="C774" i="3"/>
  <c r="K773" i="3"/>
  <c r="J773" i="3"/>
  <c r="G773" i="3"/>
  <c r="C773" i="3"/>
  <c r="K772" i="3"/>
  <c r="J772" i="3"/>
  <c r="G772" i="3"/>
  <c r="C772" i="3"/>
  <c r="K771" i="3"/>
  <c r="J771" i="3"/>
  <c r="G771" i="3"/>
  <c r="C771" i="3"/>
  <c r="K770" i="3"/>
  <c r="J770" i="3"/>
  <c r="G770" i="3"/>
  <c r="C770" i="3"/>
  <c r="K769" i="3"/>
  <c r="J769" i="3"/>
  <c r="G769" i="3"/>
  <c r="C769" i="3"/>
  <c r="K768" i="3"/>
  <c r="J768" i="3"/>
  <c r="G768" i="3"/>
  <c r="C768" i="3"/>
  <c r="K767" i="3"/>
  <c r="J767" i="3"/>
  <c r="G767" i="3"/>
  <c r="C767" i="3"/>
  <c r="K766" i="3"/>
  <c r="J766" i="3"/>
  <c r="G766" i="3"/>
  <c r="C766" i="3"/>
  <c r="K765" i="3"/>
  <c r="J765" i="3"/>
  <c r="G765" i="3"/>
  <c r="C765" i="3"/>
  <c r="K764" i="3"/>
  <c r="J764" i="3"/>
  <c r="G764" i="3"/>
  <c r="C764" i="3"/>
  <c r="K763" i="3"/>
  <c r="J763" i="3"/>
  <c r="G763" i="3"/>
  <c r="C763" i="3"/>
  <c r="K762" i="3"/>
  <c r="J762" i="3"/>
  <c r="G762" i="3"/>
  <c r="C762" i="3"/>
  <c r="K761" i="3"/>
  <c r="J761" i="3"/>
  <c r="G761" i="3"/>
  <c r="C761" i="3"/>
  <c r="K760" i="3"/>
  <c r="J760" i="3"/>
  <c r="G760" i="3"/>
  <c r="C760" i="3"/>
  <c r="K759" i="3"/>
  <c r="J759" i="3"/>
  <c r="G759" i="3"/>
  <c r="C759" i="3"/>
  <c r="K758" i="3"/>
  <c r="J758" i="3"/>
  <c r="G758" i="3"/>
  <c r="C758" i="3"/>
  <c r="K757" i="3"/>
  <c r="J757" i="3"/>
  <c r="G757" i="3"/>
  <c r="C757" i="3"/>
  <c r="K756" i="3"/>
  <c r="J756" i="3"/>
  <c r="G756" i="3"/>
  <c r="C756" i="3"/>
  <c r="K755" i="3"/>
  <c r="J755" i="3"/>
  <c r="G755" i="3"/>
  <c r="C755" i="3"/>
  <c r="K754" i="3"/>
  <c r="J754" i="3"/>
  <c r="G754" i="3"/>
  <c r="C754" i="3"/>
  <c r="K753" i="3"/>
  <c r="J753" i="3"/>
  <c r="G753" i="3"/>
  <c r="C753" i="3"/>
  <c r="K752" i="3"/>
  <c r="J752" i="3"/>
  <c r="G752" i="3"/>
  <c r="C752" i="3"/>
  <c r="K751" i="3"/>
  <c r="J751" i="3"/>
  <c r="G751" i="3"/>
  <c r="C751" i="3"/>
  <c r="K750" i="3"/>
  <c r="J750" i="3"/>
  <c r="G750" i="3"/>
  <c r="C750" i="3"/>
  <c r="K749" i="3"/>
  <c r="J749" i="3"/>
  <c r="G749" i="3"/>
  <c r="C749" i="3"/>
  <c r="K748" i="3"/>
  <c r="J748" i="3"/>
  <c r="G748" i="3"/>
  <c r="C748" i="3"/>
  <c r="K747" i="3"/>
  <c r="J747" i="3"/>
  <c r="G747" i="3"/>
  <c r="C747" i="3"/>
  <c r="K746" i="3"/>
  <c r="J746" i="3"/>
  <c r="G746" i="3"/>
  <c r="C746" i="3"/>
  <c r="K745" i="3"/>
  <c r="J745" i="3"/>
  <c r="G745" i="3"/>
  <c r="C745" i="3"/>
  <c r="K744" i="3"/>
  <c r="J744" i="3"/>
  <c r="G744" i="3"/>
  <c r="C744" i="3"/>
  <c r="K743" i="3"/>
  <c r="J743" i="3"/>
  <c r="G743" i="3"/>
  <c r="C743" i="3"/>
  <c r="K742" i="3"/>
  <c r="J742" i="3"/>
  <c r="G742" i="3"/>
  <c r="C742" i="3"/>
  <c r="K741" i="3"/>
  <c r="J741" i="3"/>
  <c r="G741" i="3"/>
  <c r="C741" i="3"/>
  <c r="K740" i="3"/>
  <c r="J740" i="3"/>
  <c r="G740" i="3"/>
  <c r="C740" i="3"/>
  <c r="K739" i="3"/>
  <c r="J739" i="3"/>
  <c r="G739" i="3"/>
  <c r="C739" i="3"/>
  <c r="K738" i="3"/>
  <c r="J738" i="3"/>
  <c r="G738" i="3"/>
  <c r="C738" i="3"/>
  <c r="K737" i="3"/>
  <c r="J737" i="3"/>
  <c r="G737" i="3"/>
  <c r="C737" i="3"/>
  <c r="K736" i="3"/>
  <c r="J736" i="3"/>
  <c r="G736" i="3"/>
  <c r="C736" i="3"/>
  <c r="K735" i="3"/>
  <c r="J735" i="3"/>
  <c r="G735" i="3"/>
  <c r="C735" i="3"/>
  <c r="K734" i="3"/>
  <c r="J734" i="3"/>
  <c r="G734" i="3"/>
  <c r="C734" i="3"/>
  <c r="K733" i="3"/>
  <c r="J733" i="3"/>
  <c r="G733" i="3"/>
  <c r="C733" i="3"/>
  <c r="K732" i="3"/>
  <c r="J732" i="3"/>
  <c r="G732" i="3"/>
  <c r="C732" i="3"/>
  <c r="K731" i="3"/>
  <c r="J731" i="3"/>
  <c r="G731" i="3"/>
  <c r="C731" i="3"/>
  <c r="K730" i="3"/>
  <c r="J730" i="3"/>
  <c r="G730" i="3"/>
  <c r="C730" i="3"/>
  <c r="K729" i="3"/>
  <c r="J729" i="3"/>
  <c r="G729" i="3"/>
  <c r="C729" i="3"/>
  <c r="K728" i="3"/>
  <c r="J728" i="3"/>
  <c r="G728" i="3"/>
  <c r="C728" i="3"/>
  <c r="K727" i="3"/>
  <c r="J727" i="3"/>
  <c r="G727" i="3"/>
  <c r="C727" i="3"/>
  <c r="K726" i="3"/>
  <c r="J726" i="3"/>
  <c r="G726" i="3"/>
  <c r="C726" i="3"/>
  <c r="K725" i="3"/>
  <c r="J725" i="3"/>
  <c r="G725" i="3"/>
  <c r="C725" i="3"/>
  <c r="K724" i="3"/>
  <c r="J724" i="3"/>
  <c r="G724" i="3"/>
  <c r="C724" i="3"/>
  <c r="K723" i="3"/>
  <c r="J723" i="3"/>
  <c r="G723" i="3"/>
  <c r="C723" i="3"/>
  <c r="K722" i="3"/>
  <c r="J722" i="3"/>
  <c r="G722" i="3"/>
  <c r="C722" i="3"/>
  <c r="K721" i="3"/>
  <c r="J721" i="3"/>
  <c r="G721" i="3"/>
  <c r="C721" i="3"/>
  <c r="K720" i="3"/>
  <c r="J720" i="3"/>
  <c r="G720" i="3"/>
  <c r="C720" i="3"/>
  <c r="K719" i="3"/>
  <c r="J719" i="3"/>
  <c r="G719" i="3"/>
  <c r="C719" i="3"/>
  <c r="K718" i="3"/>
  <c r="J718" i="3"/>
  <c r="G718" i="3"/>
  <c r="C718" i="3"/>
  <c r="K717" i="3"/>
  <c r="J717" i="3"/>
  <c r="G717" i="3"/>
  <c r="C717" i="3"/>
  <c r="K716" i="3"/>
  <c r="J716" i="3"/>
  <c r="G716" i="3"/>
  <c r="C716" i="3"/>
  <c r="K715" i="3"/>
  <c r="J715" i="3"/>
  <c r="G715" i="3"/>
  <c r="C715" i="3"/>
  <c r="K714" i="3"/>
  <c r="J714" i="3"/>
  <c r="G714" i="3"/>
  <c r="C714" i="3"/>
  <c r="K713" i="3"/>
  <c r="J713" i="3"/>
  <c r="G713" i="3"/>
  <c r="C713" i="3"/>
  <c r="K712" i="3"/>
  <c r="J712" i="3"/>
  <c r="G712" i="3"/>
  <c r="C712" i="3"/>
  <c r="K711" i="3"/>
  <c r="J711" i="3"/>
  <c r="G711" i="3"/>
  <c r="C711" i="3"/>
  <c r="K710" i="3"/>
  <c r="J710" i="3"/>
  <c r="G710" i="3"/>
  <c r="C710" i="3"/>
  <c r="K709" i="3"/>
  <c r="J709" i="3"/>
  <c r="G709" i="3"/>
  <c r="C709" i="3"/>
  <c r="K708" i="3"/>
  <c r="J708" i="3"/>
  <c r="G708" i="3"/>
  <c r="C708" i="3"/>
  <c r="K707" i="3"/>
  <c r="J707" i="3"/>
  <c r="G707" i="3"/>
  <c r="C707" i="3"/>
  <c r="K706" i="3"/>
  <c r="J706" i="3"/>
  <c r="G706" i="3"/>
  <c r="C706" i="3"/>
  <c r="K705" i="3"/>
  <c r="J705" i="3"/>
  <c r="G705" i="3"/>
  <c r="C705" i="3"/>
  <c r="K704" i="3"/>
  <c r="J704" i="3"/>
  <c r="G704" i="3"/>
  <c r="C704" i="3"/>
  <c r="K703" i="3"/>
  <c r="J703" i="3"/>
  <c r="G703" i="3"/>
  <c r="C703" i="3"/>
  <c r="K702" i="3"/>
  <c r="J702" i="3"/>
  <c r="G702" i="3"/>
  <c r="C702" i="3"/>
  <c r="K701" i="3"/>
  <c r="J701" i="3"/>
  <c r="G701" i="3"/>
  <c r="C701" i="3"/>
  <c r="K700" i="3"/>
  <c r="J700" i="3"/>
  <c r="G700" i="3"/>
  <c r="C700" i="3"/>
  <c r="K699" i="3"/>
  <c r="J699" i="3"/>
  <c r="G699" i="3"/>
  <c r="C699" i="3"/>
  <c r="K698" i="3"/>
  <c r="J698" i="3"/>
  <c r="G698" i="3"/>
  <c r="C698" i="3"/>
  <c r="K697" i="3"/>
  <c r="J697" i="3"/>
  <c r="G697" i="3"/>
  <c r="C697" i="3"/>
  <c r="K696" i="3"/>
  <c r="J696" i="3"/>
  <c r="G696" i="3"/>
  <c r="C696" i="3"/>
  <c r="K695" i="3"/>
  <c r="J695" i="3"/>
  <c r="G695" i="3"/>
  <c r="C695" i="3"/>
  <c r="K694" i="3"/>
  <c r="J694" i="3"/>
  <c r="G694" i="3"/>
  <c r="C694" i="3"/>
  <c r="K693" i="3"/>
  <c r="J693" i="3"/>
  <c r="G693" i="3"/>
  <c r="C693" i="3"/>
  <c r="K692" i="3"/>
  <c r="J692" i="3"/>
  <c r="G692" i="3"/>
  <c r="C692" i="3"/>
  <c r="K691" i="3"/>
  <c r="J691" i="3"/>
  <c r="G691" i="3"/>
  <c r="C691" i="3"/>
  <c r="K690" i="3"/>
  <c r="J690" i="3"/>
  <c r="G690" i="3"/>
  <c r="C690" i="3"/>
  <c r="K689" i="3"/>
  <c r="J689" i="3"/>
  <c r="G689" i="3"/>
  <c r="C689" i="3"/>
  <c r="K688" i="3"/>
  <c r="J688" i="3"/>
  <c r="G688" i="3"/>
  <c r="C688" i="3"/>
  <c r="K687" i="3"/>
  <c r="J687" i="3"/>
  <c r="G687" i="3"/>
  <c r="C687" i="3"/>
  <c r="K686" i="3"/>
  <c r="J686" i="3"/>
  <c r="G686" i="3"/>
  <c r="C686" i="3"/>
  <c r="K685" i="3"/>
  <c r="J685" i="3"/>
  <c r="G685" i="3"/>
  <c r="C685" i="3"/>
  <c r="K684" i="3"/>
  <c r="J684" i="3"/>
  <c r="G684" i="3"/>
  <c r="C684" i="3"/>
  <c r="K683" i="3"/>
  <c r="J683" i="3"/>
  <c r="G683" i="3"/>
  <c r="C683" i="3"/>
  <c r="K682" i="3"/>
  <c r="J682" i="3"/>
  <c r="G682" i="3"/>
  <c r="C682" i="3"/>
  <c r="K681" i="3"/>
  <c r="J681" i="3"/>
  <c r="G681" i="3"/>
  <c r="C681" i="3"/>
  <c r="K680" i="3"/>
  <c r="J680" i="3"/>
  <c r="G680" i="3"/>
  <c r="C680" i="3"/>
  <c r="K679" i="3"/>
  <c r="J679" i="3"/>
  <c r="G679" i="3"/>
  <c r="C679" i="3"/>
  <c r="K678" i="3"/>
  <c r="J678" i="3"/>
  <c r="G678" i="3"/>
  <c r="C678" i="3"/>
  <c r="K677" i="3"/>
  <c r="J677" i="3"/>
  <c r="G677" i="3"/>
  <c r="C677" i="3"/>
  <c r="K676" i="3"/>
  <c r="J676" i="3"/>
  <c r="G676" i="3"/>
  <c r="C676" i="3"/>
  <c r="K675" i="3"/>
  <c r="J675" i="3"/>
  <c r="G675" i="3"/>
  <c r="C675" i="3"/>
  <c r="K674" i="3"/>
  <c r="J674" i="3"/>
  <c r="G674" i="3"/>
  <c r="C674" i="3"/>
  <c r="K673" i="3"/>
  <c r="J673" i="3"/>
  <c r="G673" i="3"/>
  <c r="C673" i="3"/>
  <c r="K672" i="3"/>
  <c r="J672" i="3"/>
  <c r="G672" i="3"/>
  <c r="C672" i="3"/>
  <c r="K671" i="3"/>
  <c r="J671" i="3"/>
  <c r="G671" i="3"/>
  <c r="C671" i="3"/>
  <c r="K670" i="3"/>
  <c r="J670" i="3"/>
  <c r="G670" i="3"/>
  <c r="C670" i="3"/>
  <c r="K669" i="3"/>
  <c r="J669" i="3"/>
  <c r="G669" i="3"/>
  <c r="C669" i="3"/>
  <c r="K668" i="3"/>
  <c r="J668" i="3"/>
  <c r="G668" i="3"/>
  <c r="C668" i="3"/>
  <c r="K667" i="3"/>
  <c r="J667" i="3"/>
  <c r="G667" i="3"/>
  <c r="C667" i="3"/>
  <c r="K666" i="3"/>
  <c r="J666" i="3"/>
  <c r="G666" i="3"/>
  <c r="C666" i="3"/>
  <c r="K665" i="3"/>
  <c r="J665" i="3"/>
  <c r="G665" i="3"/>
  <c r="C665" i="3"/>
  <c r="K664" i="3"/>
  <c r="J664" i="3"/>
  <c r="G664" i="3"/>
  <c r="C664" i="3"/>
  <c r="K663" i="3"/>
  <c r="J663" i="3"/>
  <c r="G663" i="3"/>
  <c r="C663" i="3"/>
  <c r="K662" i="3"/>
  <c r="J662" i="3"/>
  <c r="G662" i="3"/>
  <c r="C662" i="3"/>
  <c r="K661" i="3"/>
  <c r="J661" i="3"/>
  <c r="G661" i="3"/>
  <c r="C661" i="3"/>
  <c r="K660" i="3"/>
  <c r="J660" i="3"/>
  <c r="G660" i="3"/>
  <c r="C660" i="3"/>
  <c r="K659" i="3"/>
  <c r="J659" i="3"/>
  <c r="G659" i="3"/>
  <c r="C659" i="3"/>
  <c r="K658" i="3"/>
  <c r="J658" i="3"/>
  <c r="G658" i="3"/>
  <c r="C658" i="3"/>
  <c r="K657" i="3"/>
  <c r="J657" i="3"/>
  <c r="G657" i="3"/>
  <c r="C657" i="3"/>
  <c r="K656" i="3"/>
  <c r="J656" i="3"/>
  <c r="G656" i="3"/>
  <c r="C656" i="3"/>
  <c r="K655" i="3"/>
  <c r="J655" i="3"/>
  <c r="G655" i="3"/>
  <c r="C655" i="3"/>
  <c r="K654" i="3"/>
  <c r="J654" i="3"/>
  <c r="G654" i="3"/>
  <c r="C654" i="3"/>
  <c r="K653" i="3"/>
  <c r="J653" i="3"/>
  <c r="G653" i="3"/>
  <c r="C653" i="3"/>
  <c r="K652" i="3"/>
  <c r="J652" i="3"/>
  <c r="G652" i="3"/>
  <c r="C652" i="3"/>
  <c r="K651" i="3"/>
  <c r="J651" i="3"/>
  <c r="G651" i="3"/>
  <c r="C651" i="3"/>
  <c r="K650" i="3"/>
  <c r="J650" i="3"/>
  <c r="G650" i="3"/>
  <c r="C650" i="3"/>
  <c r="K649" i="3"/>
  <c r="J649" i="3"/>
  <c r="G649" i="3"/>
  <c r="C649" i="3"/>
  <c r="K648" i="3"/>
  <c r="J648" i="3"/>
  <c r="G648" i="3"/>
  <c r="C648" i="3"/>
  <c r="K647" i="3"/>
  <c r="J647" i="3"/>
  <c r="G647" i="3"/>
  <c r="C647" i="3"/>
  <c r="K646" i="3"/>
  <c r="J646" i="3"/>
  <c r="G646" i="3"/>
  <c r="C646" i="3"/>
  <c r="K645" i="3"/>
  <c r="J645" i="3"/>
  <c r="G645" i="3"/>
  <c r="C645" i="3"/>
  <c r="K644" i="3"/>
  <c r="J644" i="3"/>
  <c r="G644" i="3"/>
  <c r="C644" i="3"/>
  <c r="K643" i="3"/>
  <c r="J643" i="3"/>
  <c r="G643" i="3"/>
  <c r="C643" i="3"/>
  <c r="K642" i="3"/>
  <c r="J642" i="3"/>
  <c r="G642" i="3"/>
  <c r="C642" i="3"/>
  <c r="K641" i="3"/>
  <c r="J641" i="3"/>
  <c r="G641" i="3"/>
  <c r="C641" i="3"/>
  <c r="K640" i="3"/>
  <c r="J640" i="3"/>
  <c r="G640" i="3"/>
  <c r="C640" i="3"/>
  <c r="K639" i="3"/>
  <c r="J639" i="3"/>
  <c r="G639" i="3"/>
  <c r="C639" i="3"/>
  <c r="K638" i="3"/>
  <c r="J638" i="3"/>
  <c r="G638" i="3"/>
  <c r="C638" i="3"/>
  <c r="K637" i="3"/>
  <c r="J637" i="3"/>
  <c r="G637" i="3"/>
  <c r="C637" i="3"/>
  <c r="K636" i="3"/>
  <c r="J636" i="3"/>
  <c r="G636" i="3"/>
  <c r="C636" i="3"/>
  <c r="K635" i="3"/>
  <c r="J635" i="3"/>
  <c r="G635" i="3"/>
  <c r="C635" i="3"/>
  <c r="K634" i="3"/>
  <c r="J634" i="3"/>
  <c r="G634" i="3"/>
  <c r="C634" i="3"/>
  <c r="K633" i="3"/>
  <c r="J633" i="3"/>
  <c r="G633" i="3"/>
  <c r="C633" i="3"/>
  <c r="K632" i="3"/>
  <c r="J632" i="3"/>
  <c r="G632" i="3"/>
  <c r="C632" i="3"/>
  <c r="K631" i="3"/>
  <c r="J631" i="3"/>
  <c r="G631" i="3"/>
  <c r="C631" i="3"/>
  <c r="K630" i="3"/>
  <c r="J630" i="3"/>
  <c r="G630" i="3"/>
  <c r="C630" i="3"/>
  <c r="K629" i="3"/>
  <c r="J629" i="3"/>
  <c r="G629" i="3"/>
  <c r="C629" i="3"/>
  <c r="K628" i="3"/>
  <c r="J628" i="3"/>
  <c r="G628" i="3"/>
  <c r="C628" i="3"/>
  <c r="K627" i="3"/>
  <c r="J627" i="3"/>
  <c r="G627" i="3"/>
  <c r="C627" i="3"/>
  <c r="K626" i="3"/>
  <c r="J626" i="3"/>
  <c r="G626" i="3"/>
  <c r="C626" i="3"/>
  <c r="K625" i="3"/>
  <c r="J625" i="3"/>
  <c r="G625" i="3"/>
  <c r="C625" i="3"/>
  <c r="K624" i="3"/>
  <c r="J624" i="3"/>
  <c r="G624" i="3"/>
  <c r="C624" i="3"/>
  <c r="K623" i="3"/>
  <c r="J623" i="3"/>
  <c r="G623" i="3"/>
  <c r="C623" i="3"/>
  <c r="K622" i="3"/>
  <c r="J622" i="3"/>
  <c r="G622" i="3"/>
  <c r="C622" i="3"/>
  <c r="K621" i="3"/>
  <c r="J621" i="3"/>
  <c r="G621" i="3"/>
  <c r="C621" i="3"/>
  <c r="K620" i="3"/>
  <c r="J620" i="3"/>
  <c r="G620" i="3"/>
  <c r="C620" i="3"/>
  <c r="K619" i="3"/>
  <c r="J619" i="3"/>
  <c r="G619" i="3"/>
  <c r="C619" i="3"/>
  <c r="K618" i="3"/>
  <c r="J618" i="3"/>
  <c r="G618" i="3"/>
  <c r="C618" i="3"/>
  <c r="K617" i="3"/>
  <c r="J617" i="3"/>
  <c r="G617" i="3"/>
  <c r="C617" i="3"/>
  <c r="K616" i="3"/>
  <c r="J616" i="3"/>
  <c r="G616" i="3"/>
  <c r="C616" i="3"/>
  <c r="K615" i="3"/>
  <c r="J615" i="3"/>
  <c r="G615" i="3"/>
  <c r="C615" i="3"/>
  <c r="K614" i="3"/>
  <c r="J614" i="3"/>
  <c r="G614" i="3"/>
  <c r="C614" i="3"/>
  <c r="K613" i="3"/>
  <c r="J613" i="3"/>
  <c r="G613" i="3"/>
  <c r="C613" i="3"/>
  <c r="K612" i="3"/>
  <c r="J612" i="3"/>
  <c r="G612" i="3"/>
  <c r="C612" i="3"/>
  <c r="K611" i="3"/>
  <c r="J611" i="3"/>
  <c r="G611" i="3"/>
  <c r="C611" i="3"/>
  <c r="K610" i="3"/>
  <c r="J610" i="3"/>
  <c r="G610" i="3"/>
  <c r="C610" i="3"/>
  <c r="K609" i="3"/>
  <c r="J609" i="3"/>
  <c r="G609" i="3"/>
  <c r="C609" i="3"/>
  <c r="K608" i="3"/>
  <c r="J608" i="3"/>
  <c r="G608" i="3"/>
  <c r="C608" i="3"/>
  <c r="K607" i="3"/>
  <c r="J607" i="3"/>
  <c r="G607" i="3"/>
  <c r="C607" i="3"/>
  <c r="K606" i="3"/>
  <c r="J606" i="3"/>
  <c r="G606" i="3"/>
  <c r="C606" i="3"/>
  <c r="K605" i="3"/>
  <c r="J605" i="3"/>
  <c r="G605" i="3"/>
  <c r="C605" i="3"/>
  <c r="K604" i="3"/>
  <c r="J604" i="3"/>
  <c r="G604" i="3"/>
  <c r="C604" i="3"/>
  <c r="K603" i="3"/>
  <c r="J603" i="3"/>
  <c r="G603" i="3"/>
  <c r="C603" i="3"/>
  <c r="K602" i="3"/>
  <c r="J602" i="3"/>
  <c r="G602" i="3"/>
  <c r="C602" i="3"/>
  <c r="K601" i="3"/>
  <c r="J601" i="3"/>
  <c r="G601" i="3"/>
  <c r="C601" i="3"/>
  <c r="K600" i="3"/>
  <c r="J600" i="3"/>
  <c r="G600" i="3"/>
  <c r="C600" i="3"/>
  <c r="K599" i="3"/>
  <c r="J599" i="3"/>
  <c r="G599" i="3"/>
  <c r="C599" i="3"/>
  <c r="K598" i="3"/>
  <c r="J598" i="3"/>
  <c r="G598" i="3"/>
  <c r="C598" i="3"/>
  <c r="K597" i="3"/>
  <c r="J597" i="3"/>
  <c r="G597" i="3"/>
  <c r="C597" i="3"/>
  <c r="K596" i="3"/>
  <c r="J596" i="3"/>
  <c r="G596" i="3"/>
  <c r="C596" i="3"/>
  <c r="K595" i="3"/>
  <c r="J595" i="3"/>
  <c r="G595" i="3"/>
  <c r="C595" i="3"/>
  <c r="K594" i="3"/>
  <c r="J594" i="3"/>
  <c r="G594" i="3"/>
  <c r="C594" i="3"/>
  <c r="K593" i="3"/>
  <c r="J593" i="3"/>
  <c r="G593" i="3"/>
  <c r="C593" i="3"/>
  <c r="K592" i="3"/>
  <c r="J592" i="3"/>
  <c r="G592" i="3"/>
  <c r="C592" i="3"/>
  <c r="K591" i="3"/>
  <c r="J591" i="3"/>
  <c r="G591" i="3"/>
  <c r="C591" i="3"/>
  <c r="K590" i="3"/>
  <c r="J590" i="3"/>
  <c r="G590" i="3"/>
  <c r="C590" i="3"/>
  <c r="K589" i="3"/>
  <c r="J589" i="3"/>
  <c r="G589" i="3"/>
  <c r="C589" i="3"/>
  <c r="K588" i="3"/>
  <c r="J588" i="3"/>
  <c r="G588" i="3"/>
  <c r="C588" i="3"/>
  <c r="K587" i="3"/>
  <c r="J587" i="3"/>
  <c r="G587" i="3"/>
  <c r="C587" i="3"/>
  <c r="K586" i="3"/>
  <c r="J586" i="3"/>
  <c r="G586" i="3"/>
  <c r="C586" i="3"/>
  <c r="K585" i="3"/>
  <c r="J585" i="3"/>
  <c r="G585" i="3"/>
  <c r="C585" i="3"/>
  <c r="K584" i="3"/>
  <c r="J584" i="3"/>
  <c r="G584" i="3"/>
  <c r="C584" i="3"/>
  <c r="K583" i="3"/>
  <c r="J583" i="3"/>
  <c r="G583" i="3"/>
  <c r="C583" i="3"/>
  <c r="K582" i="3"/>
  <c r="J582" i="3"/>
  <c r="G582" i="3"/>
  <c r="C582" i="3"/>
  <c r="K581" i="3"/>
  <c r="J581" i="3"/>
  <c r="G581" i="3"/>
  <c r="C581" i="3"/>
  <c r="K580" i="3"/>
  <c r="J580" i="3"/>
  <c r="G580" i="3"/>
  <c r="C580" i="3"/>
  <c r="K579" i="3"/>
  <c r="J579" i="3"/>
  <c r="G579" i="3"/>
  <c r="C579" i="3"/>
  <c r="K578" i="3"/>
  <c r="J578" i="3"/>
  <c r="G578" i="3"/>
  <c r="C578" i="3"/>
  <c r="K577" i="3"/>
  <c r="J577" i="3"/>
  <c r="G577" i="3"/>
  <c r="C577" i="3"/>
  <c r="K576" i="3"/>
  <c r="J576" i="3"/>
  <c r="G576" i="3"/>
  <c r="C576" i="3"/>
  <c r="K575" i="3"/>
  <c r="J575" i="3"/>
  <c r="G575" i="3"/>
  <c r="C575" i="3"/>
  <c r="K574" i="3"/>
  <c r="J574" i="3"/>
  <c r="G574" i="3"/>
  <c r="C574" i="3"/>
  <c r="K573" i="3"/>
  <c r="J573" i="3"/>
  <c r="G573" i="3"/>
  <c r="C573" i="3"/>
  <c r="K572" i="3"/>
  <c r="J572" i="3"/>
  <c r="G572" i="3"/>
  <c r="C572" i="3"/>
  <c r="K571" i="3"/>
  <c r="J571" i="3"/>
  <c r="G571" i="3"/>
  <c r="C571" i="3"/>
  <c r="K570" i="3"/>
  <c r="J570" i="3"/>
  <c r="G570" i="3"/>
  <c r="C570" i="3"/>
  <c r="K569" i="3"/>
  <c r="J569" i="3"/>
  <c r="G569" i="3"/>
  <c r="C569" i="3"/>
  <c r="K568" i="3"/>
  <c r="J568" i="3"/>
  <c r="G568" i="3"/>
  <c r="C568" i="3"/>
  <c r="K567" i="3"/>
  <c r="J567" i="3"/>
  <c r="G567" i="3"/>
  <c r="C567" i="3"/>
  <c r="K566" i="3"/>
  <c r="J566" i="3"/>
  <c r="G566" i="3"/>
  <c r="C566" i="3"/>
  <c r="K565" i="3"/>
  <c r="J565" i="3"/>
  <c r="G565" i="3"/>
  <c r="C565" i="3"/>
  <c r="K564" i="3"/>
  <c r="J564" i="3"/>
  <c r="G564" i="3"/>
  <c r="C564" i="3"/>
  <c r="K563" i="3"/>
  <c r="J563" i="3"/>
  <c r="G563" i="3"/>
  <c r="C563" i="3"/>
  <c r="K562" i="3"/>
  <c r="J562" i="3"/>
  <c r="G562" i="3"/>
  <c r="C562" i="3"/>
  <c r="K561" i="3"/>
  <c r="J561" i="3"/>
  <c r="G561" i="3"/>
  <c r="C561" i="3"/>
  <c r="K560" i="3"/>
  <c r="J560" i="3"/>
  <c r="G560" i="3"/>
  <c r="C560" i="3"/>
  <c r="K559" i="3"/>
  <c r="J559" i="3"/>
  <c r="G559" i="3"/>
  <c r="C559" i="3"/>
  <c r="K558" i="3"/>
  <c r="J558" i="3"/>
  <c r="G558" i="3"/>
  <c r="C558" i="3"/>
  <c r="K557" i="3"/>
  <c r="J557" i="3"/>
  <c r="G557" i="3"/>
  <c r="C557" i="3"/>
  <c r="K556" i="3"/>
  <c r="J556" i="3"/>
  <c r="G556" i="3"/>
  <c r="C556" i="3"/>
  <c r="K555" i="3"/>
  <c r="J555" i="3"/>
  <c r="G555" i="3"/>
  <c r="C555" i="3"/>
  <c r="K554" i="3"/>
  <c r="J554" i="3"/>
  <c r="G554" i="3"/>
  <c r="C554" i="3"/>
  <c r="K553" i="3"/>
  <c r="J553" i="3"/>
  <c r="G553" i="3"/>
  <c r="C553" i="3"/>
  <c r="K552" i="3"/>
  <c r="J552" i="3"/>
  <c r="G552" i="3"/>
  <c r="C552" i="3"/>
  <c r="K551" i="3"/>
  <c r="J551" i="3"/>
  <c r="G551" i="3"/>
  <c r="C551" i="3"/>
  <c r="K550" i="3"/>
  <c r="J550" i="3"/>
  <c r="G550" i="3"/>
  <c r="C550" i="3"/>
  <c r="K549" i="3"/>
  <c r="J549" i="3"/>
  <c r="G549" i="3"/>
  <c r="C549" i="3"/>
  <c r="K548" i="3"/>
  <c r="J548" i="3"/>
  <c r="G548" i="3"/>
  <c r="C548" i="3"/>
  <c r="K547" i="3"/>
  <c r="J547" i="3"/>
  <c r="G547" i="3"/>
  <c r="C547" i="3"/>
  <c r="K546" i="3"/>
  <c r="J546" i="3"/>
  <c r="G546" i="3"/>
  <c r="C546" i="3"/>
  <c r="K545" i="3"/>
  <c r="J545" i="3"/>
  <c r="G545" i="3"/>
  <c r="C545" i="3"/>
  <c r="K544" i="3"/>
  <c r="J544" i="3"/>
  <c r="G544" i="3"/>
  <c r="C544" i="3"/>
  <c r="K543" i="3"/>
  <c r="J543" i="3"/>
  <c r="G543" i="3"/>
  <c r="C543" i="3"/>
  <c r="K542" i="3"/>
  <c r="J542" i="3"/>
  <c r="G542" i="3"/>
  <c r="C542" i="3"/>
  <c r="K541" i="3"/>
  <c r="J541" i="3"/>
  <c r="G541" i="3"/>
  <c r="C541" i="3"/>
  <c r="K540" i="3"/>
  <c r="J540" i="3"/>
  <c r="G540" i="3"/>
  <c r="C540" i="3"/>
  <c r="K539" i="3"/>
  <c r="J539" i="3"/>
  <c r="G539" i="3"/>
  <c r="C539" i="3"/>
  <c r="K538" i="3"/>
  <c r="J538" i="3"/>
  <c r="G538" i="3"/>
  <c r="C538" i="3"/>
  <c r="K537" i="3"/>
  <c r="J537" i="3"/>
  <c r="G537" i="3"/>
  <c r="C537" i="3"/>
  <c r="K536" i="3"/>
  <c r="J536" i="3"/>
  <c r="G536" i="3"/>
  <c r="C536" i="3"/>
  <c r="K535" i="3"/>
  <c r="J535" i="3"/>
  <c r="G535" i="3"/>
  <c r="C535" i="3"/>
  <c r="K534" i="3"/>
  <c r="J534" i="3"/>
  <c r="G534" i="3"/>
  <c r="C534" i="3"/>
  <c r="K533" i="3"/>
  <c r="J533" i="3"/>
  <c r="G533" i="3"/>
  <c r="C533" i="3"/>
  <c r="K532" i="3"/>
  <c r="J532" i="3"/>
  <c r="G532" i="3"/>
  <c r="C532" i="3"/>
  <c r="K531" i="3"/>
  <c r="J531" i="3"/>
  <c r="G531" i="3"/>
  <c r="C531" i="3"/>
  <c r="K530" i="3"/>
  <c r="J530" i="3"/>
  <c r="G530" i="3"/>
  <c r="C530" i="3"/>
  <c r="K529" i="3"/>
  <c r="J529" i="3"/>
  <c r="G529" i="3"/>
  <c r="C529" i="3"/>
  <c r="K528" i="3"/>
  <c r="J528" i="3"/>
  <c r="G528" i="3"/>
  <c r="C528" i="3"/>
  <c r="K527" i="3"/>
  <c r="J527" i="3"/>
  <c r="G527" i="3"/>
  <c r="C527" i="3"/>
  <c r="K526" i="3"/>
  <c r="J526" i="3"/>
  <c r="G526" i="3"/>
  <c r="C526" i="3"/>
  <c r="K525" i="3"/>
  <c r="J525" i="3"/>
  <c r="G525" i="3"/>
  <c r="C525" i="3"/>
  <c r="K524" i="3"/>
  <c r="J524" i="3"/>
  <c r="G524" i="3"/>
  <c r="C524" i="3"/>
  <c r="K523" i="3"/>
  <c r="J523" i="3"/>
  <c r="G523" i="3"/>
  <c r="C523" i="3"/>
  <c r="K522" i="3"/>
  <c r="J522" i="3"/>
  <c r="G522" i="3"/>
  <c r="C522" i="3"/>
  <c r="K521" i="3"/>
  <c r="J521" i="3"/>
  <c r="G521" i="3"/>
  <c r="C521" i="3"/>
  <c r="K520" i="3"/>
  <c r="J520" i="3"/>
  <c r="G520" i="3"/>
  <c r="C520" i="3"/>
  <c r="K519" i="3"/>
  <c r="J519" i="3"/>
  <c r="G519" i="3"/>
  <c r="C519" i="3"/>
  <c r="K518" i="3"/>
  <c r="J518" i="3"/>
  <c r="G518" i="3"/>
  <c r="C518" i="3"/>
  <c r="K517" i="3"/>
  <c r="J517" i="3"/>
  <c r="G517" i="3"/>
  <c r="C517" i="3"/>
  <c r="K516" i="3"/>
  <c r="J516" i="3"/>
  <c r="G516" i="3"/>
  <c r="C516" i="3"/>
  <c r="K515" i="3"/>
  <c r="J515" i="3"/>
  <c r="G515" i="3"/>
  <c r="C515" i="3"/>
  <c r="K514" i="3"/>
  <c r="J514" i="3"/>
  <c r="G514" i="3"/>
  <c r="C514" i="3"/>
  <c r="K513" i="3"/>
  <c r="J513" i="3"/>
  <c r="G513" i="3"/>
  <c r="C513" i="3"/>
  <c r="K512" i="3"/>
  <c r="J512" i="3"/>
  <c r="G512" i="3"/>
  <c r="C512" i="3"/>
  <c r="K511" i="3"/>
  <c r="J511" i="3"/>
  <c r="G511" i="3"/>
  <c r="C511" i="3"/>
  <c r="K510" i="3"/>
  <c r="J510" i="3"/>
  <c r="G510" i="3"/>
  <c r="C510" i="3"/>
  <c r="K509" i="3"/>
  <c r="J509" i="3"/>
  <c r="G509" i="3"/>
  <c r="C509" i="3"/>
  <c r="K508" i="3"/>
  <c r="J508" i="3"/>
  <c r="G508" i="3"/>
  <c r="C508" i="3"/>
  <c r="K507" i="3"/>
  <c r="J507" i="3"/>
  <c r="G507" i="3"/>
  <c r="C507" i="3"/>
  <c r="K506" i="3"/>
  <c r="J506" i="3"/>
  <c r="G506" i="3"/>
  <c r="C506" i="3"/>
  <c r="K505" i="3"/>
  <c r="J505" i="3"/>
  <c r="G505" i="3"/>
  <c r="C505" i="3"/>
  <c r="K504" i="3"/>
  <c r="J504" i="3"/>
  <c r="G504" i="3"/>
  <c r="C504" i="3"/>
  <c r="K503" i="3"/>
  <c r="J503" i="3"/>
  <c r="G503" i="3"/>
  <c r="C503" i="3"/>
  <c r="K502" i="3"/>
  <c r="J502" i="3"/>
  <c r="G502" i="3"/>
  <c r="C502" i="3"/>
  <c r="K501" i="3"/>
  <c r="J501" i="3"/>
  <c r="G501" i="3"/>
  <c r="C501" i="3"/>
  <c r="K500" i="3"/>
  <c r="J500" i="3"/>
  <c r="G500" i="3"/>
  <c r="C500" i="3"/>
  <c r="K499" i="3"/>
  <c r="J499" i="3"/>
  <c r="G499" i="3"/>
  <c r="C499" i="3"/>
  <c r="K498" i="3"/>
  <c r="J498" i="3"/>
  <c r="G498" i="3"/>
  <c r="C498" i="3"/>
  <c r="K497" i="3"/>
  <c r="J497" i="3"/>
  <c r="G497" i="3"/>
  <c r="C497" i="3"/>
  <c r="K496" i="3"/>
  <c r="J496" i="3"/>
  <c r="G496" i="3"/>
  <c r="C496" i="3"/>
  <c r="K495" i="3"/>
  <c r="J495" i="3"/>
  <c r="G495" i="3"/>
  <c r="C495" i="3"/>
  <c r="K494" i="3"/>
  <c r="J494" i="3"/>
  <c r="G494" i="3"/>
  <c r="C494" i="3"/>
  <c r="K493" i="3"/>
  <c r="J493" i="3"/>
  <c r="G493" i="3"/>
  <c r="C493" i="3"/>
  <c r="K492" i="3"/>
  <c r="J492" i="3"/>
  <c r="G492" i="3"/>
  <c r="C492" i="3"/>
  <c r="K491" i="3"/>
  <c r="J491" i="3"/>
  <c r="G491" i="3"/>
  <c r="C491" i="3"/>
  <c r="K490" i="3"/>
  <c r="J490" i="3"/>
  <c r="G490" i="3"/>
  <c r="C490" i="3"/>
  <c r="K489" i="3"/>
  <c r="J489" i="3"/>
  <c r="G489" i="3"/>
  <c r="C489" i="3"/>
  <c r="K488" i="3"/>
  <c r="J488" i="3"/>
  <c r="G488" i="3"/>
  <c r="C488" i="3"/>
  <c r="K487" i="3"/>
  <c r="J487" i="3"/>
  <c r="G487" i="3"/>
  <c r="C487" i="3"/>
  <c r="K486" i="3"/>
  <c r="J486" i="3"/>
  <c r="G486" i="3"/>
  <c r="C486" i="3"/>
  <c r="K485" i="3"/>
  <c r="J485" i="3"/>
  <c r="G485" i="3"/>
  <c r="C485" i="3"/>
  <c r="K484" i="3"/>
  <c r="J484" i="3"/>
  <c r="G484" i="3"/>
  <c r="C484" i="3"/>
  <c r="K483" i="3"/>
  <c r="J483" i="3"/>
  <c r="G483" i="3"/>
  <c r="C483" i="3"/>
  <c r="K482" i="3"/>
  <c r="J482" i="3"/>
  <c r="G482" i="3"/>
  <c r="C482" i="3"/>
  <c r="K481" i="3"/>
  <c r="J481" i="3"/>
  <c r="G481" i="3"/>
  <c r="C481" i="3"/>
  <c r="K480" i="3"/>
  <c r="J480" i="3"/>
  <c r="G480" i="3"/>
  <c r="C480" i="3"/>
  <c r="K479" i="3"/>
  <c r="J479" i="3"/>
  <c r="G479" i="3"/>
  <c r="C479" i="3"/>
  <c r="K478" i="3"/>
  <c r="J478" i="3"/>
  <c r="G478" i="3"/>
  <c r="C478" i="3"/>
  <c r="K477" i="3"/>
  <c r="J477" i="3"/>
  <c r="G477" i="3"/>
  <c r="C477" i="3"/>
  <c r="K476" i="3"/>
  <c r="J476" i="3"/>
  <c r="G476" i="3"/>
  <c r="C476" i="3"/>
  <c r="K475" i="3"/>
  <c r="J475" i="3"/>
  <c r="G475" i="3"/>
  <c r="C475" i="3"/>
  <c r="K474" i="3"/>
  <c r="J474" i="3"/>
  <c r="G474" i="3"/>
  <c r="C474" i="3"/>
  <c r="K473" i="3"/>
  <c r="J473" i="3"/>
  <c r="G473" i="3"/>
  <c r="C473" i="3"/>
  <c r="K472" i="3"/>
  <c r="J472" i="3"/>
  <c r="G472" i="3"/>
  <c r="C472" i="3"/>
  <c r="K471" i="3"/>
  <c r="J471" i="3"/>
  <c r="G471" i="3"/>
  <c r="C471" i="3"/>
  <c r="K470" i="3"/>
  <c r="J470" i="3"/>
  <c r="G470" i="3"/>
  <c r="C470" i="3"/>
  <c r="K469" i="3"/>
  <c r="J469" i="3"/>
  <c r="G469" i="3"/>
  <c r="C469" i="3"/>
  <c r="K468" i="3"/>
  <c r="J468" i="3"/>
  <c r="G468" i="3"/>
  <c r="C468" i="3"/>
  <c r="K467" i="3"/>
  <c r="J467" i="3"/>
  <c r="G467" i="3"/>
  <c r="C467" i="3"/>
  <c r="K466" i="3"/>
  <c r="J466" i="3"/>
  <c r="G466" i="3"/>
  <c r="C466" i="3"/>
  <c r="K465" i="3"/>
  <c r="J465" i="3"/>
  <c r="G465" i="3"/>
  <c r="C465" i="3"/>
  <c r="K464" i="3"/>
  <c r="J464" i="3"/>
  <c r="G464" i="3"/>
  <c r="C464" i="3"/>
  <c r="K463" i="3"/>
  <c r="J463" i="3"/>
  <c r="G463" i="3"/>
  <c r="C463" i="3"/>
  <c r="K462" i="3"/>
  <c r="J462" i="3"/>
  <c r="G462" i="3"/>
  <c r="C462" i="3"/>
  <c r="K461" i="3"/>
  <c r="J461" i="3"/>
  <c r="G461" i="3"/>
  <c r="C461" i="3"/>
  <c r="K460" i="3"/>
  <c r="J460" i="3"/>
  <c r="G460" i="3"/>
  <c r="C460" i="3"/>
  <c r="K459" i="3"/>
  <c r="J459" i="3"/>
  <c r="G459" i="3"/>
  <c r="C459" i="3"/>
  <c r="K458" i="3"/>
  <c r="J458" i="3"/>
  <c r="G458" i="3"/>
  <c r="C458" i="3"/>
  <c r="K457" i="3"/>
  <c r="J457" i="3"/>
  <c r="G457" i="3"/>
  <c r="C457" i="3"/>
  <c r="K456" i="3"/>
  <c r="J456" i="3"/>
  <c r="G456" i="3"/>
  <c r="C456" i="3"/>
  <c r="K455" i="3"/>
  <c r="J455" i="3"/>
  <c r="G455" i="3"/>
  <c r="C455" i="3"/>
  <c r="K454" i="3"/>
  <c r="J454" i="3"/>
  <c r="G454" i="3"/>
  <c r="C454" i="3"/>
  <c r="K453" i="3"/>
  <c r="J453" i="3"/>
  <c r="G453" i="3"/>
  <c r="C453" i="3"/>
  <c r="K452" i="3"/>
  <c r="J452" i="3"/>
  <c r="G452" i="3"/>
  <c r="C452" i="3"/>
  <c r="K451" i="3"/>
  <c r="J451" i="3"/>
  <c r="G451" i="3"/>
  <c r="C451" i="3"/>
  <c r="K450" i="3"/>
  <c r="J450" i="3"/>
  <c r="G450" i="3"/>
  <c r="C450" i="3"/>
  <c r="K449" i="3"/>
  <c r="J449" i="3"/>
  <c r="G449" i="3"/>
  <c r="C449" i="3"/>
  <c r="K448" i="3"/>
  <c r="J448" i="3"/>
  <c r="G448" i="3"/>
  <c r="C448" i="3"/>
  <c r="K447" i="3"/>
  <c r="J447" i="3"/>
  <c r="G447" i="3"/>
  <c r="C447" i="3"/>
  <c r="K446" i="3"/>
  <c r="J446" i="3"/>
  <c r="G446" i="3"/>
  <c r="C446" i="3"/>
  <c r="K445" i="3"/>
  <c r="J445" i="3"/>
  <c r="G445" i="3"/>
  <c r="C445" i="3"/>
  <c r="K444" i="3"/>
  <c r="J444" i="3"/>
  <c r="G444" i="3"/>
  <c r="C444" i="3"/>
  <c r="K443" i="3"/>
  <c r="J443" i="3"/>
  <c r="G443" i="3"/>
  <c r="C443" i="3"/>
  <c r="K442" i="3"/>
  <c r="J442" i="3"/>
  <c r="G442" i="3"/>
  <c r="C442" i="3"/>
  <c r="K441" i="3"/>
  <c r="J441" i="3"/>
  <c r="G441" i="3"/>
  <c r="C441" i="3"/>
  <c r="K440" i="3"/>
  <c r="J440" i="3"/>
  <c r="G440" i="3"/>
  <c r="C440" i="3"/>
  <c r="K439" i="3"/>
  <c r="J439" i="3"/>
  <c r="G439" i="3"/>
  <c r="C439" i="3"/>
  <c r="K438" i="3"/>
  <c r="J438" i="3"/>
  <c r="G438" i="3"/>
  <c r="C438" i="3"/>
  <c r="K437" i="3"/>
  <c r="J437" i="3"/>
  <c r="G437" i="3"/>
  <c r="C437" i="3"/>
  <c r="K436" i="3"/>
  <c r="J436" i="3"/>
  <c r="G436" i="3"/>
  <c r="C436" i="3"/>
  <c r="K435" i="3"/>
  <c r="J435" i="3"/>
  <c r="G435" i="3"/>
  <c r="C435" i="3"/>
  <c r="K434" i="3"/>
  <c r="J434" i="3"/>
  <c r="G434" i="3"/>
  <c r="C434" i="3"/>
  <c r="K433" i="3"/>
  <c r="J433" i="3"/>
  <c r="G433" i="3"/>
  <c r="C433" i="3"/>
  <c r="K432" i="3"/>
  <c r="J432" i="3"/>
  <c r="G432" i="3"/>
  <c r="C432" i="3"/>
  <c r="K431" i="3"/>
  <c r="J431" i="3"/>
  <c r="G431" i="3"/>
  <c r="C431" i="3"/>
  <c r="K430" i="3"/>
  <c r="J430" i="3"/>
  <c r="G430" i="3"/>
  <c r="C430" i="3"/>
  <c r="K429" i="3"/>
  <c r="J429" i="3"/>
  <c r="G429" i="3"/>
  <c r="C429" i="3"/>
  <c r="K428" i="3"/>
  <c r="J428" i="3"/>
  <c r="G428" i="3"/>
  <c r="C428" i="3"/>
  <c r="K427" i="3"/>
  <c r="J427" i="3"/>
  <c r="G427" i="3"/>
  <c r="C427" i="3"/>
  <c r="K426" i="3"/>
  <c r="J426" i="3"/>
  <c r="G426" i="3"/>
  <c r="C426" i="3"/>
  <c r="K425" i="3"/>
  <c r="J425" i="3"/>
  <c r="G425" i="3"/>
  <c r="C425" i="3"/>
  <c r="K424" i="3"/>
  <c r="J424" i="3"/>
  <c r="G424" i="3"/>
  <c r="C424" i="3"/>
  <c r="K423" i="3"/>
  <c r="J423" i="3"/>
  <c r="G423" i="3"/>
  <c r="C423" i="3"/>
  <c r="K422" i="3"/>
  <c r="J422" i="3"/>
  <c r="G422" i="3"/>
  <c r="C422" i="3"/>
  <c r="K421" i="3"/>
  <c r="J421" i="3"/>
  <c r="G421" i="3"/>
  <c r="C421" i="3"/>
  <c r="K420" i="3"/>
  <c r="J420" i="3"/>
  <c r="G420" i="3"/>
  <c r="C420" i="3"/>
  <c r="K419" i="3"/>
  <c r="J419" i="3"/>
  <c r="G419" i="3"/>
  <c r="C419" i="3"/>
  <c r="K418" i="3"/>
  <c r="J418" i="3"/>
  <c r="G418" i="3"/>
  <c r="C418" i="3"/>
  <c r="K417" i="3"/>
  <c r="J417" i="3"/>
  <c r="G417" i="3"/>
  <c r="C417" i="3"/>
  <c r="K416" i="3"/>
  <c r="J416" i="3"/>
  <c r="G416" i="3"/>
  <c r="C416" i="3"/>
  <c r="K415" i="3"/>
  <c r="J415" i="3"/>
  <c r="G415" i="3"/>
  <c r="C415" i="3"/>
  <c r="K414" i="3"/>
  <c r="J414" i="3"/>
  <c r="G414" i="3"/>
  <c r="C414" i="3"/>
  <c r="K413" i="3"/>
  <c r="J413" i="3"/>
  <c r="G413" i="3"/>
  <c r="C413" i="3"/>
  <c r="K412" i="3"/>
  <c r="J412" i="3"/>
  <c r="G412" i="3"/>
  <c r="C412" i="3"/>
  <c r="K411" i="3"/>
  <c r="J411" i="3"/>
  <c r="G411" i="3"/>
  <c r="C411" i="3"/>
  <c r="K410" i="3"/>
  <c r="J410" i="3"/>
  <c r="G410" i="3"/>
  <c r="C410" i="3"/>
  <c r="K409" i="3"/>
  <c r="J409" i="3"/>
  <c r="G409" i="3"/>
  <c r="C409" i="3"/>
  <c r="K408" i="3"/>
  <c r="J408" i="3"/>
  <c r="G408" i="3"/>
  <c r="C408" i="3"/>
  <c r="K407" i="3"/>
  <c r="J407" i="3"/>
  <c r="G407" i="3"/>
  <c r="C407" i="3"/>
  <c r="K406" i="3"/>
  <c r="J406" i="3"/>
  <c r="G406" i="3"/>
  <c r="C406" i="3"/>
  <c r="K405" i="3"/>
  <c r="J405" i="3"/>
  <c r="G405" i="3"/>
  <c r="C405" i="3"/>
  <c r="K404" i="3"/>
  <c r="J404" i="3"/>
  <c r="G404" i="3"/>
  <c r="C404" i="3"/>
  <c r="K403" i="3"/>
  <c r="J403" i="3"/>
  <c r="G403" i="3"/>
  <c r="C403" i="3"/>
  <c r="K402" i="3"/>
  <c r="J402" i="3"/>
  <c r="G402" i="3"/>
  <c r="C402" i="3"/>
  <c r="K401" i="3"/>
  <c r="J401" i="3"/>
  <c r="G401" i="3"/>
  <c r="C401" i="3"/>
  <c r="K400" i="3"/>
  <c r="J400" i="3"/>
  <c r="G400" i="3"/>
  <c r="C400" i="3"/>
  <c r="K399" i="3"/>
  <c r="J399" i="3"/>
  <c r="G399" i="3"/>
  <c r="C399" i="3"/>
  <c r="K398" i="3"/>
  <c r="J398" i="3"/>
  <c r="G398" i="3"/>
  <c r="C398" i="3"/>
  <c r="K397" i="3"/>
  <c r="J397" i="3"/>
  <c r="G397" i="3"/>
  <c r="C397" i="3"/>
  <c r="K396" i="3"/>
  <c r="J396" i="3"/>
  <c r="G396" i="3"/>
  <c r="C396" i="3"/>
  <c r="K395" i="3"/>
  <c r="J395" i="3"/>
  <c r="G395" i="3"/>
  <c r="C395" i="3"/>
  <c r="K394" i="3"/>
  <c r="J394" i="3"/>
  <c r="G394" i="3"/>
  <c r="C394" i="3"/>
  <c r="K393" i="3"/>
  <c r="J393" i="3"/>
  <c r="G393" i="3"/>
  <c r="C393" i="3"/>
  <c r="K392" i="3"/>
  <c r="J392" i="3"/>
  <c r="G392" i="3"/>
  <c r="C392" i="3"/>
  <c r="K391" i="3"/>
  <c r="J391" i="3"/>
  <c r="G391" i="3"/>
  <c r="C391" i="3"/>
  <c r="K390" i="3"/>
  <c r="J390" i="3"/>
  <c r="G390" i="3"/>
  <c r="C390" i="3"/>
  <c r="K389" i="3"/>
  <c r="J389" i="3"/>
  <c r="G389" i="3"/>
  <c r="C389" i="3"/>
  <c r="K388" i="3"/>
  <c r="J388" i="3"/>
  <c r="G388" i="3"/>
  <c r="C388" i="3"/>
  <c r="K387" i="3"/>
  <c r="J387" i="3"/>
  <c r="G387" i="3"/>
  <c r="C387" i="3"/>
  <c r="K386" i="3"/>
  <c r="J386" i="3"/>
  <c r="G386" i="3"/>
  <c r="C386" i="3"/>
  <c r="K385" i="3"/>
  <c r="J385" i="3"/>
  <c r="G385" i="3"/>
  <c r="C385" i="3"/>
  <c r="K384" i="3"/>
  <c r="J384" i="3"/>
  <c r="G384" i="3"/>
  <c r="C384" i="3"/>
  <c r="K383" i="3"/>
  <c r="J383" i="3"/>
  <c r="G383" i="3"/>
  <c r="C383" i="3"/>
  <c r="K382" i="3"/>
  <c r="J382" i="3"/>
  <c r="G382" i="3"/>
  <c r="C382" i="3"/>
  <c r="K381" i="3"/>
  <c r="J381" i="3"/>
  <c r="G381" i="3"/>
  <c r="C381" i="3"/>
  <c r="K380" i="3"/>
  <c r="J380" i="3"/>
  <c r="G380" i="3"/>
  <c r="C380" i="3"/>
  <c r="K379" i="3"/>
  <c r="J379" i="3"/>
  <c r="G379" i="3"/>
  <c r="C379" i="3"/>
  <c r="K378" i="3"/>
  <c r="J378" i="3"/>
  <c r="G378" i="3"/>
  <c r="C378" i="3"/>
  <c r="K377" i="3"/>
  <c r="J377" i="3"/>
  <c r="G377" i="3"/>
  <c r="C377" i="3"/>
  <c r="K376" i="3"/>
  <c r="J376" i="3"/>
  <c r="G376" i="3"/>
  <c r="C376" i="3"/>
  <c r="K375" i="3"/>
  <c r="J375" i="3"/>
  <c r="G375" i="3"/>
  <c r="C375" i="3"/>
  <c r="K374" i="3"/>
  <c r="J374" i="3"/>
  <c r="G374" i="3"/>
  <c r="C374" i="3"/>
  <c r="K373" i="3"/>
  <c r="J373" i="3"/>
  <c r="G373" i="3"/>
  <c r="C373" i="3"/>
  <c r="K372" i="3"/>
  <c r="J372" i="3"/>
  <c r="G372" i="3"/>
  <c r="C372" i="3"/>
  <c r="K371" i="3"/>
  <c r="J371" i="3"/>
  <c r="G371" i="3"/>
  <c r="C371" i="3"/>
  <c r="K370" i="3"/>
  <c r="J370" i="3"/>
  <c r="G370" i="3"/>
  <c r="C370" i="3"/>
  <c r="K369" i="3"/>
  <c r="J369" i="3"/>
  <c r="G369" i="3"/>
  <c r="C369" i="3"/>
  <c r="K368" i="3"/>
  <c r="J368" i="3"/>
  <c r="G368" i="3"/>
  <c r="C368" i="3"/>
  <c r="K367" i="3"/>
  <c r="J367" i="3"/>
  <c r="G367" i="3"/>
  <c r="C367" i="3"/>
  <c r="K366" i="3"/>
  <c r="J366" i="3"/>
  <c r="G366" i="3"/>
  <c r="C366" i="3"/>
  <c r="K365" i="3"/>
  <c r="J365" i="3"/>
  <c r="G365" i="3"/>
  <c r="C365" i="3"/>
  <c r="K364" i="3"/>
  <c r="J364" i="3"/>
  <c r="G364" i="3"/>
  <c r="C364" i="3"/>
  <c r="K363" i="3"/>
  <c r="J363" i="3"/>
  <c r="G363" i="3"/>
  <c r="C363" i="3"/>
  <c r="K362" i="3"/>
  <c r="J362" i="3"/>
  <c r="G362" i="3"/>
  <c r="C362" i="3"/>
  <c r="K361" i="3"/>
  <c r="J361" i="3"/>
  <c r="G361" i="3"/>
  <c r="C361" i="3"/>
  <c r="K360" i="3"/>
  <c r="J360" i="3"/>
  <c r="G360" i="3"/>
  <c r="C360" i="3"/>
  <c r="K359" i="3"/>
  <c r="J359" i="3"/>
  <c r="G359" i="3"/>
  <c r="C359" i="3"/>
  <c r="K358" i="3"/>
  <c r="J358" i="3"/>
  <c r="G358" i="3"/>
  <c r="C358" i="3"/>
  <c r="K357" i="3"/>
  <c r="J357" i="3"/>
  <c r="G357" i="3"/>
  <c r="C357" i="3"/>
  <c r="K356" i="3"/>
  <c r="J356" i="3"/>
  <c r="G356" i="3"/>
  <c r="C356" i="3"/>
  <c r="K355" i="3"/>
  <c r="J355" i="3"/>
  <c r="G355" i="3"/>
  <c r="C355" i="3"/>
  <c r="K354" i="3"/>
  <c r="J354" i="3"/>
  <c r="G354" i="3"/>
  <c r="C354" i="3"/>
  <c r="K353" i="3"/>
  <c r="J353" i="3"/>
  <c r="G353" i="3"/>
  <c r="C353" i="3"/>
  <c r="K352" i="3"/>
  <c r="J352" i="3"/>
  <c r="G352" i="3"/>
  <c r="C352" i="3"/>
  <c r="K351" i="3"/>
  <c r="J351" i="3"/>
  <c r="G351" i="3"/>
  <c r="C351" i="3"/>
  <c r="K350" i="3"/>
  <c r="J350" i="3"/>
  <c r="G350" i="3"/>
  <c r="C350" i="3"/>
  <c r="K349" i="3"/>
  <c r="J349" i="3"/>
  <c r="G349" i="3"/>
  <c r="C349" i="3"/>
  <c r="K348" i="3"/>
  <c r="J348" i="3"/>
  <c r="G348" i="3"/>
  <c r="C348" i="3"/>
  <c r="K347" i="3"/>
  <c r="J347" i="3"/>
  <c r="G347" i="3"/>
  <c r="C347" i="3"/>
  <c r="K346" i="3"/>
  <c r="J346" i="3"/>
  <c r="G346" i="3"/>
  <c r="C346" i="3"/>
  <c r="K345" i="3"/>
  <c r="J345" i="3"/>
  <c r="G345" i="3"/>
  <c r="C345" i="3"/>
  <c r="K344" i="3"/>
  <c r="J344" i="3"/>
  <c r="G344" i="3"/>
  <c r="C344" i="3"/>
  <c r="K343" i="3"/>
  <c r="J343" i="3"/>
  <c r="G343" i="3"/>
  <c r="C343" i="3"/>
  <c r="K342" i="3"/>
  <c r="J342" i="3"/>
  <c r="G342" i="3"/>
  <c r="C342" i="3"/>
  <c r="K341" i="3"/>
  <c r="J341" i="3"/>
  <c r="G341" i="3"/>
  <c r="C341" i="3"/>
  <c r="K340" i="3"/>
  <c r="J340" i="3"/>
  <c r="G340" i="3"/>
  <c r="C340" i="3"/>
  <c r="K339" i="3"/>
  <c r="J339" i="3"/>
  <c r="G339" i="3"/>
  <c r="C339" i="3"/>
  <c r="K338" i="3"/>
  <c r="J338" i="3"/>
  <c r="G338" i="3"/>
  <c r="C338" i="3"/>
  <c r="K337" i="3"/>
  <c r="J337" i="3"/>
  <c r="G337" i="3"/>
  <c r="C337" i="3"/>
  <c r="K336" i="3"/>
  <c r="J336" i="3"/>
  <c r="G336" i="3"/>
  <c r="C336" i="3"/>
  <c r="K335" i="3"/>
  <c r="J335" i="3"/>
  <c r="G335" i="3"/>
  <c r="C335" i="3"/>
  <c r="K334" i="3"/>
  <c r="J334" i="3"/>
  <c r="G334" i="3"/>
  <c r="C334" i="3"/>
  <c r="K333" i="3"/>
  <c r="J333" i="3"/>
  <c r="G333" i="3"/>
  <c r="C333" i="3"/>
  <c r="K332" i="3"/>
  <c r="J332" i="3"/>
  <c r="G332" i="3"/>
  <c r="C332" i="3"/>
  <c r="K331" i="3"/>
  <c r="J331" i="3"/>
  <c r="G331" i="3"/>
  <c r="C331" i="3"/>
  <c r="K330" i="3"/>
  <c r="J330" i="3"/>
  <c r="G330" i="3"/>
  <c r="C330" i="3"/>
  <c r="K329" i="3"/>
  <c r="J329" i="3"/>
  <c r="G329" i="3"/>
  <c r="C329" i="3"/>
  <c r="K328" i="3"/>
  <c r="J328" i="3"/>
  <c r="G328" i="3"/>
  <c r="C328" i="3"/>
  <c r="K327" i="3"/>
  <c r="J327" i="3"/>
  <c r="G327" i="3"/>
  <c r="C327" i="3"/>
  <c r="K326" i="3"/>
  <c r="J326" i="3"/>
  <c r="G326" i="3"/>
  <c r="C326" i="3"/>
  <c r="K325" i="3"/>
  <c r="J325" i="3"/>
  <c r="G325" i="3"/>
  <c r="C325" i="3"/>
  <c r="K324" i="3"/>
  <c r="J324" i="3"/>
  <c r="G324" i="3"/>
  <c r="C324" i="3"/>
  <c r="K323" i="3"/>
  <c r="J323" i="3"/>
  <c r="G323" i="3"/>
  <c r="C323" i="3"/>
  <c r="K322" i="3"/>
  <c r="J322" i="3"/>
  <c r="G322" i="3"/>
  <c r="C322" i="3"/>
  <c r="K321" i="3"/>
  <c r="J321" i="3"/>
  <c r="G321" i="3"/>
  <c r="C321" i="3"/>
  <c r="K320" i="3"/>
  <c r="J320" i="3"/>
  <c r="G320" i="3"/>
  <c r="C320" i="3"/>
  <c r="K319" i="3"/>
  <c r="J319" i="3"/>
  <c r="G319" i="3"/>
  <c r="C319" i="3"/>
  <c r="K318" i="3"/>
  <c r="J318" i="3"/>
  <c r="G318" i="3"/>
  <c r="C318" i="3"/>
  <c r="K317" i="3"/>
  <c r="J317" i="3"/>
  <c r="G317" i="3"/>
  <c r="C317" i="3"/>
  <c r="K316" i="3"/>
  <c r="J316" i="3"/>
  <c r="G316" i="3"/>
  <c r="C316" i="3"/>
  <c r="K315" i="3"/>
  <c r="J315" i="3"/>
  <c r="G315" i="3"/>
  <c r="C315" i="3"/>
  <c r="K314" i="3"/>
  <c r="J314" i="3"/>
  <c r="G314" i="3"/>
  <c r="C314" i="3"/>
  <c r="K313" i="3"/>
  <c r="J313" i="3"/>
  <c r="G313" i="3"/>
  <c r="C313" i="3"/>
  <c r="K312" i="3"/>
  <c r="J312" i="3"/>
  <c r="G312" i="3"/>
  <c r="C312" i="3"/>
  <c r="K311" i="3"/>
  <c r="J311" i="3"/>
  <c r="G311" i="3"/>
  <c r="C311" i="3"/>
  <c r="K310" i="3"/>
  <c r="J310" i="3"/>
  <c r="G310" i="3"/>
  <c r="C310" i="3"/>
  <c r="K309" i="3"/>
  <c r="J309" i="3"/>
  <c r="G309" i="3"/>
  <c r="C309" i="3"/>
  <c r="K308" i="3"/>
  <c r="J308" i="3"/>
  <c r="G308" i="3"/>
  <c r="C308" i="3"/>
  <c r="K307" i="3"/>
  <c r="J307" i="3"/>
  <c r="G307" i="3"/>
  <c r="C307" i="3"/>
  <c r="K306" i="3"/>
  <c r="J306" i="3"/>
  <c r="G306" i="3"/>
  <c r="C306" i="3"/>
  <c r="K305" i="3"/>
  <c r="J305" i="3"/>
  <c r="G305" i="3"/>
  <c r="C305" i="3"/>
  <c r="K304" i="3"/>
  <c r="J304" i="3"/>
  <c r="G304" i="3"/>
  <c r="C304" i="3"/>
  <c r="K303" i="3"/>
  <c r="J303" i="3"/>
  <c r="G303" i="3"/>
  <c r="C303" i="3"/>
  <c r="K302" i="3"/>
  <c r="J302" i="3"/>
  <c r="G302" i="3"/>
  <c r="C302" i="3"/>
  <c r="K301" i="3"/>
  <c r="J301" i="3"/>
  <c r="G301" i="3"/>
  <c r="C301" i="3"/>
  <c r="K300" i="3"/>
  <c r="J300" i="3"/>
  <c r="G300" i="3"/>
  <c r="C300" i="3"/>
  <c r="K299" i="3"/>
  <c r="J299" i="3"/>
  <c r="G299" i="3"/>
  <c r="C299" i="3"/>
  <c r="K298" i="3"/>
  <c r="J298" i="3"/>
  <c r="G298" i="3"/>
  <c r="C298" i="3"/>
  <c r="K297" i="3"/>
  <c r="J297" i="3"/>
  <c r="G297" i="3"/>
  <c r="C297" i="3"/>
  <c r="K296" i="3"/>
  <c r="J296" i="3"/>
  <c r="G296" i="3"/>
  <c r="C296" i="3"/>
  <c r="K295" i="3"/>
  <c r="J295" i="3"/>
  <c r="G295" i="3"/>
  <c r="C295" i="3"/>
  <c r="K294" i="3"/>
  <c r="J294" i="3"/>
  <c r="G294" i="3"/>
  <c r="C294" i="3"/>
  <c r="K293" i="3"/>
  <c r="J293" i="3"/>
  <c r="G293" i="3"/>
  <c r="C293" i="3"/>
  <c r="K292" i="3"/>
  <c r="J292" i="3"/>
  <c r="G292" i="3"/>
  <c r="C292" i="3"/>
  <c r="K291" i="3"/>
  <c r="J291" i="3"/>
  <c r="G291" i="3"/>
  <c r="C291" i="3"/>
  <c r="K290" i="3"/>
  <c r="J290" i="3"/>
  <c r="G290" i="3"/>
  <c r="C290" i="3"/>
  <c r="K289" i="3"/>
  <c r="J289" i="3"/>
  <c r="G289" i="3"/>
  <c r="C289" i="3"/>
  <c r="K288" i="3"/>
  <c r="J288" i="3"/>
  <c r="G288" i="3"/>
  <c r="C288" i="3"/>
  <c r="K287" i="3"/>
  <c r="J287" i="3"/>
  <c r="G287" i="3"/>
  <c r="C287" i="3"/>
  <c r="K286" i="3"/>
  <c r="J286" i="3"/>
  <c r="G286" i="3"/>
  <c r="C286" i="3"/>
  <c r="K285" i="3"/>
  <c r="J285" i="3"/>
  <c r="G285" i="3"/>
  <c r="C285" i="3"/>
  <c r="K284" i="3"/>
  <c r="J284" i="3"/>
  <c r="G284" i="3"/>
  <c r="C284" i="3"/>
  <c r="K283" i="3"/>
  <c r="J283" i="3"/>
  <c r="G283" i="3"/>
  <c r="C283" i="3"/>
  <c r="K282" i="3"/>
  <c r="J282" i="3"/>
  <c r="G282" i="3"/>
  <c r="C282" i="3"/>
  <c r="K281" i="3"/>
  <c r="J281" i="3"/>
  <c r="G281" i="3"/>
  <c r="C281" i="3"/>
  <c r="K280" i="3"/>
  <c r="J280" i="3"/>
  <c r="G280" i="3"/>
  <c r="C280" i="3"/>
  <c r="K279" i="3"/>
  <c r="J279" i="3"/>
  <c r="G279" i="3"/>
  <c r="C279" i="3"/>
  <c r="K278" i="3"/>
  <c r="J278" i="3"/>
  <c r="G278" i="3"/>
  <c r="C278" i="3"/>
  <c r="K277" i="3"/>
  <c r="J277" i="3"/>
  <c r="G277" i="3"/>
  <c r="C277" i="3"/>
  <c r="K276" i="3"/>
  <c r="J276" i="3"/>
  <c r="G276" i="3"/>
  <c r="C276" i="3"/>
  <c r="K275" i="3"/>
  <c r="J275" i="3"/>
  <c r="G275" i="3"/>
  <c r="C275" i="3"/>
  <c r="K274" i="3"/>
  <c r="J274" i="3"/>
  <c r="G274" i="3"/>
  <c r="C274" i="3"/>
  <c r="K273" i="3"/>
  <c r="J273" i="3"/>
  <c r="G273" i="3"/>
  <c r="C273" i="3"/>
  <c r="K272" i="3"/>
  <c r="J272" i="3"/>
  <c r="G272" i="3"/>
  <c r="C272" i="3"/>
  <c r="K271" i="3"/>
  <c r="J271" i="3"/>
  <c r="G271" i="3"/>
  <c r="C271" i="3"/>
  <c r="K270" i="3"/>
  <c r="J270" i="3"/>
  <c r="G270" i="3"/>
  <c r="C270" i="3"/>
  <c r="K269" i="3"/>
  <c r="J269" i="3"/>
  <c r="G269" i="3"/>
  <c r="C269" i="3"/>
  <c r="K268" i="3"/>
  <c r="J268" i="3"/>
  <c r="G268" i="3"/>
  <c r="C268" i="3"/>
  <c r="K267" i="3"/>
  <c r="J267" i="3"/>
  <c r="G267" i="3"/>
  <c r="C267" i="3"/>
  <c r="K266" i="3"/>
  <c r="J266" i="3"/>
  <c r="G266" i="3"/>
  <c r="C266" i="3"/>
  <c r="K265" i="3"/>
  <c r="J265" i="3"/>
  <c r="G265" i="3"/>
  <c r="C265" i="3"/>
  <c r="K264" i="3"/>
  <c r="J264" i="3"/>
  <c r="G264" i="3"/>
  <c r="C264" i="3"/>
  <c r="K263" i="3"/>
  <c r="J263" i="3"/>
  <c r="G263" i="3"/>
  <c r="C263" i="3"/>
  <c r="K262" i="3"/>
  <c r="J262" i="3"/>
  <c r="G262" i="3"/>
  <c r="C262" i="3"/>
  <c r="K261" i="3"/>
  <c r="J261" i="3"/>
  <c r="G261" i="3"/>
  <c r="C261" i="3"/>
  <c r="K260" i="3"/>
  <c r="J260" i="3"/>
  <c r="G260" i="3"/>
  <c r="C260" i="3"/>
  <c r="K259" i="3"/>
  <c r="J259" i="3"/>
  <c r="G259" i="3"/>
  <c r="C259" i="3"/>
  <c r="K258" i="3"/>
  <c r="J258" i="3"/>
  <c r="G258" i="3"/>
  <c r="C258" i="3"/>
  <c r="K257" i="3"/>
  <c r="J257" i="3"/>
  <c r="G257" i="3"/>
  <c r="C257" i="3"/>
  <c r="K256" i="3"/>
  <c r="J256" i="3"/>
  <c r="G256" i="3"/>
  <c r="C256" i="3"/>
  <c r="K255" i="3"/>
  <c r="J255" i="3"/>
  <c r="G255" i="3"/>
  <c r="C255" i="3"/>
  <c r="K254" i="3"/>
  <c r="J254" i="3"/>
  <c r="G254" i="3"/>
  <c r="C254" i="3"/>
  <c r="K253" i="3"/>
  <c r="J253" i="3"/>
  <c r="G253" i="3"/>
  <c r="C253" i="3"/>
  <c r="K252" i="3"/>
  <c r="J252" i="3"/>
  <c r="G252" i="3"/>
  <c r="C252" i="3"/>
  <c r="K251" i="3"/>
  <c r="J251" i="3"/>
  <c r="G251" i="3"/>
  <c r="C251" i="3"/>
  <c r="K250" i="3"/>
  <c r="J250" i="3"/>
  <c r="G250" i="3"/>
  <c r="C250" i="3"/>
  <c r="K249" i="3"/>
  <c r="J249" i="3"/>
  <c r="G249" i="3"/>
  <c r="C249" i="3"/>
  <c r="K248" i="3"/>
  <c r="J248" i="3"/>
  <c r="G248" i="3"/>
  <c r="C248" i="3"/>
  <c r="K247" i="3"/>
  <c r="J247" i="3"/>
  <c r="G247" i="3"/>
  <c r="C247" i="3"/>
  <c r="K246" i="3"/>
  <c r="J246" i="3"/>
  <c r="G246" i="3"/>
  <c r="C246" i="3"/>
  <c r="K245" i="3"/>
  <c r="J245" i="3"/>
  <c r="G245" i="3"/>
  <c r="C245" i="3"/>
  <c r="K244" i="3"/>
  <c r="J244" i="3"/>
  <c r="G244" i="3"/>
  <c r="C244" i="3"/>
  <c r="K243" i="3"/>
  <c r="J243" i="3"/>
  <c r="G243" i="3"/>
  <c r="C243" i="3"/>
  <c r="K242" i="3"/>
  <c r="J242" i="3"/>
  <c r="G242" i="3"/>
  <c r="C242" i="3"/>
  <c r="K241" i="3"/>
  <c r="J241" i="3"/>
  <c r="G241" i="3"/>
  <c r="C241" i="3"/>
  <c r="K240" i="3"/>
  <c r="J240" i="3"/>
  <c r="G240" i="3"/>
  <c r="C240" i="3"/>
  <c r="K239" i="3"/>
  <c r="J239" i="3"/>
  <c r="G239" i="3"/>
  <c r="C239" i="3"/>
  <c r="K238" i="3"/>
  <c r="J238" i="3"/>
  <c r="G238" i="3"/>
  <c r="C238" i="3"/>
  <c r="K237" i="3"/>
  <c r="J237" i="3"/>
  <c r="G237" i="3"/>
  <c r="C237" i="3"/>
  <c r="K236" i="3"/>
  <c r="J236" i="3"/>
  <c r="G236" i="3"/>
  <c r="C236" i="3"/>
  <c r="K235" i="3"/>
  <c r="J235" i="3"/>
  <c r="G235" i="3"/>
  <c r="C235" i="3"/>
  <c r="K234" i="3"/>
  <c r="J234" i="3"/>
  <c r="G234" i="3"/>
  <c r="C234" i="3"/>
  <c r="K233" i="3"/>
  <c r="J233" i="3"/>
  <c r="G233" i="3"/>
  <c r="C233" i="3"/>
  <c r="K232" i="3"/>
  <c r="J232" i="3"/>
  <c r="G232" i="3"/>
  <c r="C232" i="3"/>
  <c r="K231" i="3"/>
  <c r="J231" i="3"/>
  <c r="G231" i="3"/>
  <c r="C231" i="3"/>
  <c r="K230" i="3"/>
  <c r="J230" i="3"/>
  <c r="G230" i="3"/>
  <c r="C230" i="3"/>
  <c r="K229" i="3"/>
  <c r="J229" i="3"/>
  <c r="G229" i="3"/>
  <c r="C229" i="3"/>
  <c r="K228" i="3"/>
  <c r="J228" i="3"/>
  <c r="G228" i="3"/>
  <c r="C228" i="3"/>
  <c r="K227" i="3"/>
  <c r="J227" i="3"/>
  <c r="G227" i="3"/>
  <c r="C227" i="3"/>
  <c r="K226" i="3"/>
  <c r="J226" i="3"/>
  <c r="G226" i="3"/>
  <c r="C226" i="3"/>
  <c r="K225" i="3"/>
  <c r="J225" i="3"/>
  <c r="G225" i="3"/>
  <c r="C225" i="3"/>
  <c r="K224" i="3"/>
  <c r="J224" i="3"/>
  <c r="G224" i="3"/>
  <c r="C224" i="3"/>
  <c r="K223" i="3"/>
  <c r="J223" i="3"/>
  <c r="G223" i="3"/>
  <c r="C223" i="3"/>
  <c r="K222" i="3"/>
  <c r="J222" i="3"/>
  <c r="G222" i="3"/>
  <c r="C222" i="3"/>
  <c r="K221" i="3"/>
  <c r="J221" i="3"/>
  <c r="G221" i="3"/>
  <c r="C221" i="3"/>
  <c r="K220" i="3"/>
  <c r="J220" i="3"/>
  <c r="G220" i="3"/>
  <c r="C220" i="3"/>
  <c r="K219" i="3"/>
  <c r="J219" i="3"/>
  <c r="G219" i="3"/>
  <c r="C219" i="3"/>
  <c r="K218" i="3"/>
  <c r="J218" i="3"/>
  <c r="G218" i="3"/>
  <c r="C218" i="3"/>
  <c r="K217" i="3"/>
  <c r="J217" i="3"/>
  <c r="G217" i="3"/>
  <c r="C217" i="3"/>
  <c r="K216" i="3"/>
  <c r="J216" i="3"/>
  <c r="G216" i="3"/>
  <c r="C216" i="3"/>
  <c r="K215" i="3"/>
  <c r="J215" i="3"/>
  <c r="G215" i="3"/>
  <c r="C215" i="3"/>
  <c r="K214" i="3"/>
  <c r="J214" i="3"/>
  <c r="G214" i="3"/>
  <c r="C214" i="3"/>
  <c r="K213" i="3"/>
  <c r="J213" i="3"/>
  <c r="G213" i="3"/>
  <c r="C213" i="3"/>
  <c r="K212" i="3"/>
  <c r="J212" i="3"/>
  <c r="G212" i="3"/>
  <c r="C212" i="3"/>
  <c r="K211" i="3"/>
  <c r="J211" i="3"/>
  <c r="G211" i="3"/>
  <c r="C211" i="3"/>
  <c r="K210" i="3"/>
  <c r="J210" i="3"/>
  <c r="G210" i="3"/>
  <c r="C210" i="3"/>
  <c r="K209" i="3"/>
  <c r="J209" i="3"/>
  <c r="G209" i="3"/>
  <c r="C209" i="3"/>
  <c r="K208" i="3"/>
  <c r="J208" i="3"/>
  <c r="G208" i="3"/>
  <c r="C208" i="3"/>
  <c r="K207" i="3"/>
  <c r="J207" i="3"/>
  <c r="G207" i="3"/>
  <c r="C207" i="3"/>
  <c r="K206" i="3"/>
  <c r="J206" i="3"/>
  <c r="G206" i="3"/>
  <c r="C206" i="3"/>
  <c r="K205" i="3"/>
  <c r="J205" i="3"/>
  <c r="G205" i="3"/>
  <c r="C205" i="3"/>
  <c r="K204" i="3"/>
  <c r="J204" i="3"/>
  <c r="G204" i="3"/>
  <c r="C204" i="3"/>
  <c r="K203" i="3"/>
  <c r="J203" i="3"/>
  <c r="G203" i="3"/>
  <c r="C203" i="3"/>
  <c r="K202" i="3"/>
  <c r="J202" i="3"/>
  <c r="G202" i="3"/>
  <c r="C202" i="3"/>
  <c r="K201" i="3"/>
  <c r="J201" i="3"/>
  <c r="G201" i="3"/>
  <c r="C201" i="3"/>
  <c r="K200" i="3"/>
  <c r="J200" i="3"/>
  <c r="G200" i="3"/>
  <c r="C200" i="3"/>
  <c r="K199" i="3"/>
  <c r="J199" i="3"/>
  <c r="G199" i="3"/>
  <c r="C199" i="3"/>
  <c r="K198" i="3"/>
  <c r="J198" i="3"/>
  <c r="G198" i="3"/>
  <c r="C198" i="3"/>
  <c r="K197" i="3"/>
  <c r="J197" i="3"/>
  <c r="G197" i="3"/>
  <c r="C197" i="3"/>
  <c r="K196" i="3"/>
  <c r="J196" i="3"/>
  <c r="G196" i="3"/>
  <c r="C196" i="3"/>
  <c r="K195" i="3"/>
  <c r="J195" i="3"/>
  <c r="G195" i="3"/>
  <c r="C195" i="3"/>
  <c r="K194" i="3"/>
  <c r="J194" i="3"/>
  <c r="G194" i="3"/>
  <c r="C194" i="3"/>
  <c r="K193" i="3"/>
  <c r="J193" i="3"/>
  <c r="G193" i="3"/>
  <c r="C193" i="3"/>
  <c r="K192" i="3"/>
  <c r="J192" i="3"/>
  <c r="G192" i="3"/>
  <c r="C192" i="3"/>
  <c r="K191" i="3"/>
  <c r="J191" i="3"/>
  <c r="G191" i="3"/>
  <c r="C191" i="3"/>
  <c r="K190" i="3"/>
  <c r="J190" i="3"/>
  <c r="G190" i="3"/>
  <c r="C190" i="3"/>
  <c r="K189" i="3"/>
  <c r="J189" i="3"/>
  <c r="G189" i="3"/>
  <c r="C189" i="3"/>
  <c r="K188" i="3"/>
  <c r="J188" i="3"/>
  <c r="G188" i="3"/>
  <c r="C188" i="3"/>
  <c r="K187" i="3"/>
  <c r="J187" i="3"/>
  <c r="G187" i="3"/>
  <c r="C187" i="3"/>
  <c r="K186" i="3"/>
  <c r="J186" i="3"/>
  <c r="G186" i="3"/>
  <c r="C186" i="3"/>
  <c r="K185" i="3"/>
  <c r="J185" i="3"/>
  <c r="G185" i="3"/>
  <c r="C185" i="3"/>
  <c r="K184" i="3"/>
  <c r="J184" i="3"/>
  <c r="G184" i="3"/>
  <c r="C184" i="3"/>
  <c r="K183" i="3"/>
  <c r="J183" i="3"/>
  <c r="G183" i="3"/>
  <c r="C183" i="3"/>
  <c r="K182" i="3"/>
  <c r="J182" i="3"/>
  <c r="G182" i="3"/>
  <c r="C182" i="3"/>
  <c r="K181" i="3"/>
  <c r="J181" i="3"/>
  <c r="G181" i="3"/>
  <c r="C181" i="3"/>
  <c r="K180" i="3"/>
  <c r="J180" i="3"/>
  <c r="G180" i="3"/>
  <c r="C180" i="3"/>
  <c r="K179" i="3"/>
  <c r="J179" i="3"/>
  <c r="G179" i="3"/>
  <c r="C179" i="3"/>
  <c r="K178" i="3"/>
  <c r="J178" i="3"/>
  <c r="G178" i="3"/>
  <c r="C178" i="3"/>
  <c r="K177" i="3"/>
  <c r="J177" i="3"/>
  <c r="G177" i="3"/>
  <c r="C177" i="3"/>
  <c r="K176" i="3"/>
  <c r="J176" i="3"/>
  <c r="G176" i="3"/>
  <c r="C176" i="3"/>
  <c r="K175" i="3"/>
  <c r="J175" i="3"/>
  <c r="G175" i="3"/>
  <c r="C175" i="3"/>
  <c r="K174" i="3"/>
  <c r="J174" i="3"/>
  <c r="G174" i="3"/>
  <c r="C174" i="3"/>
  <c r="K173" i="3"/>
  <c r="J173" i="3"/>
  <c r="G173" i="3"/>
  <c r="C173" i="3"/>
  <c r="K172" i="3"/>
  <c r="J172" i="3"/>
  <c r="G172" i="3"/>
  <c r="C172" i="3"/>
  <c r="K171" i="3"/>
  <c r="J171" i="3"/>
  <c r="G171" i="3"/>
  <c r="C171" i="3"/>
  <c r="K170" i="3"/>
  <c r="J170" i="3"/>
  <c r="G170" i="3"/>
  <c r="C170" i="3"/>
  <c r="K169" i="3"/>
  <c r="J169" i="3"/>
  <c r="G169" i="3"/>
  <c r="C169" i="3"/>
  <c r="K168" i="3"/>
  <c r="J168" i="3"/>
  <c r="G168" i="3"/>
  <c r="C168" i="3"/>
  <c r="K167" i="3"/>
  <c r="J167" i="3"/>
  <c r="G167" i="3"/>
  <c r="C167" i="3"/>
  <c r="K166" i="3"/>
  <c r="J166" i="3"/>
  <c r="G166" i="3"/>
  <c r="C166" i="3"/>
  <c r="K165" i="3"/>
  <c r="J165" i="3"/>
  <c r="G165" i="3"/>
  <c r="C165" i="3"/>
  <c r="K164" i="3"/>
  <c r="J164" i="3"/>
  <c r="G164" i="3"/>
  <c r="C164" i="3"/>
  <c r="K163" i="3"/>
  <c r="J163" i="3"/>
  <c r="G163" i="3"/>
  <c r="C163" i="3"/>
  <c r="K162" i="3"/>
  <c r="J162" i="3"/>
  <c r="G162" i="3"/>
  <c r="C162" i="3"/>
  <c r="K161" i="3"/>
  <c r="J161" i="3"/>
  <c r="G161" i="3"/>
  <c r="C161" i="3"/>
  <c r="K160" i="3"/>
  <c r="J160" i="3"/>
  <c r="G160" i="3"/>
  <c r="C160" i="3"/>
  <c r="K159" i="3"/>
  <c r="J159" i="3"/>
  <c r="G159" i="3"/>
  <c r="C159" i="3"/>
  <c r="K158" i="3"/>
  <c r="J158" i="3"/>
  <c r="G158" i="3"/>
  <c r="C158" i="3"/>
  <c r="K157" i="3"/>
  <c r="J157" i="3"/>
  <c r="G157" i="3"/>
  <c r="C157" i="3"/>
  <c r="K156" i="3"/>
  <c r="J156" i="3"/>
  <c r="G156" i="3"/>
  <c r="C156" i="3"/>
  <c r="K155" i="3"/>
  <c r="J155" i="3"/>
  <c r="G155" i="3"/>
  <c r="C155" i="3"/>
  <c r="K154" i="3"/>
  <c r="J154" i="3"/>
  <c r="G154" i="3"/>
  <c r="C154" i="3"/>
  <c r="K153" i="3"/>
  <c r="J153" i="3"/>
  <c r="G153" i="3"/>
  <c r="C153" i="3"/>
  <c r="K152" i="3"/>
  <c r="J152" i="3"/>
  <c r="G152" i="3"/>
  <c r="C152" i="3"/>
  <c r="K151" i="3"/>
  <c r="J151" i="3"/>
  <c r="G151" i="3"/>
  <c r="C151" i="3"/>
  <c r="K150" i="3"/>
  <c r="J150" i="3"/>
  <c r="G150" i="3"/>
  <c r="C150" i="3"/>
  <c r="K149" i="3"/>
  <c r="J149" i="3"/>
  <c r="G149" i="3"/>
  <c r="C149" i="3"/>
  <c r="K148" i="3"/>
  <c r="J148" i="3"/>
  <c r="G148" i="3"/>
  <c r="C148" i="3"/>
  <c r="K147" i="3"/>
  <c r="J147" i="3"/>
  <c r="G147" i="3"/>
  <c r="C147" i="3"/>
  <c r="K146" i="3"/>
  <c r="J146" i="3"/>
  <c r="G146" i="3"/>
  <c r="C146" i="3"/>
  <c r="K145" i="3"/>
  <c r="J145" i="3"/>
  <c r="G145" i="3"/>
  <c r="C145" i="3"/>
  <c r="K144" i="3"/>
  <c r="J144" i="3"/>
  <c r="G144" i="3"/>
  <c r="C144" i="3"/>
  <c r="K143" i="3"/>
  <c r="J143" i="3"/>
  <c r="G143" i="3"/>
  <c r="C143" i="3"/>
  <c r="K142" i="3"/>
  <c r="J142" i="3"/>
  <c r="G142" i="3"/>
  <c r="C142" i="3"/>
  <c r="K141" i="3"/>
  <c r="J141" i="3"/>
  <c r="G141" i="3"/>
  <c r="C141" i="3"/>
  <c r="K140" i="3"/>
  <c r="J140" i="3"/>
  <c r="G140" i="3"/>
  <c r="C140" i="3"/>
  <c r="K139" i="3"/>
  <c r="J139" i="3"/>
  <c r="G139" i="3"/>
  <c r="C139" i="3"/>
  <c r="K138" i="3"/>
  <c r="J138" i="3"/>
  <c r="G138" i="3"/>
  <c r="C138" i="3"/>
  <c r="K137" i="3"/>
  <c r="J137" i="3"/>
  <c r="G137" i="3"/>
  <c r="C137" i="3"/>
  <c r="K136" i="3"/>
  <c r="J136" i="3"/>
  <c r="G136" i="3"/>
  <c r="C136" i="3"/>
  <c r="K135" i="3"/>
  <c r="J135" i="3"/>
  <c r="G135" i="3"/>
  <c r="C135" i="3"/>
  <c r="K134" i="3"/>
  <c r="J134" i="3"/>
  <c r="G134" i="3"/>
  <c r="C134" i="3"/>
  <c r="K133" i="3"/>
  <c r="J133" i="3"/>
  <c r="G133" i="3"/>
  <c r="C133" i="3"/>
  <c r="K132" i="3"/>
  <c r="J132" i="3"/>
  <c r="G132" i="3"/>
  <c r="C132" i="3"/>
  <c r="K131" i="3"/>
  <c r="J131" i="3"/>
  <c r="G131" i="3"/>
  <c r="C131" i="3"/>
  <c r="K130" i="3"/>
  <c r="J130" i="3"/>
  <c r="G130" i="3"/>
  <c r="C130" i="3"/>
  <c r="K129" i="3"/>
  <c r="J129" i="3"/>
  <c r="G129" i="3"/>
  <c r="C129" i="3"/>
  <c r="K128" i="3"/>
  <c r="J128" i="3"/>
  <c r="G128" i="3"/>
  <c r="C128" i="3"/>
  <c r="K127" i="3"/>
  <c r="J127" i="3"/>
  <c r="G127" i="3"/>
  <c r="C127" i="3"/>
  <c r="K126" i="3"/>
  <c r="J126" i="3"/>
  <c r="G126" i="3"/>
  <c r="C126" i="3"/>
  <c r="K125" i="3"/>
  <c r="J125" i="3"/>
  <c r="G125" i="3"/>
  <c r="C125" i="3"/>
  <c r="K124" i="3"/>
  <c r="J124" i="3"/>
  <c r="G124" i="3"/>
  <c r="C124" i="3"/>
  <c r="K123" i="3"/>
  <c r="J123" i="3"/>
  <c r="G123" i="3"/>
  <c r="C123" i="3"/>
  <c r="K122" i="3"/>
  <c r="J122" i="3"/>
  <c r="G122" i="3"/>
  <c r="C122" i="3"/>
  <c r="K121" i="3"/>
  <c r="J121" i="3"/>
  <c r="G121" i="3"/>
  <c r="C121" i="3"/>
  <c r="K120" i="3"/>
  <c r="J120" i="3"/>
  <c r="G120" i="3"/>
  <c r="C120" i="3"/>
  <c r="K119" i="3"/>
  <c r="J119" i="3"/>
  <c r="G119" i="3"/>
  <c r="C119" i="3"/>
  <c r="K118" i="3"/>
  <c r="J118" i="3"/>
  <c r="G118" i="3"/>
  <c r="C118" i="3"/>
  <c r="K117" i="3"/>
  <c r="J117" i="3"/>
  <c r="G117" i="3"/>
  <c r="C117" i="3"/>
  <c r="K116" i="3"/>
  <c r="J116" i="3"/>
  <c r="G116" i="3"/>
  <c r="C116" i="3"/>
  <c r="K115" i="3"/>
  <c r="J115" i="3"/>
  <c r="G115" i="3"/>
  <c r="C115" i="3"/>
  <c r="K114" i="3"/>
  <c r="J114" i="3"/>
  <c r="G114" i="3"/>
  <c r="C114" i="3"/>
  <c r="K113" i="3"/>
  <c r="J113" i="3"/>
  <c r="G113" i="3"/>
  <c r="C113" i="3"/>
  <c r="K112" i="3"/>
  <c r="J112" i="3"/>
  <c r="G112" i="3"/>
  <c r="C112" i="3"/>
  <c r="K111" i="3"/>
  <c r="J111" i="3"/>
  <c r="G111" i="3"/>
  <c r="C111" i="3"/>
  <c r="K110" i="3"/>
  <c r="J110" i="3"/>
  <c r="G110" i="3"/>
  <c r="C110" i="3"/>
  <c r="K109" i="3"/>
  <c r="J109" i="3"/>
  <c r="G109" i="3"/>
  <c r="C109" i="3"/>
  <c r="K108" i="3"/>
  <c r="J108" i="3"/>
  <c r="G108" i="3"/>
  <c r="C108" i="3"/>
  <c r="K107" i="3"/>
  <c r="J107" i="3"/>
  <c r="G107" i="3"/>
  <c r="C107" i="3"/>
  <c r="K106" i="3"/>
  <c r="J106" i="3"/>
  <c r="G106" i="3"/>
  <c r="C106" i="3"/>
  <c r="K105" i="3"/>
  <c r="J105" i="3"/>
  <c r="G105" i="3"/>
  <c r="C105" i="3"/>
  <c r="K104" i="3"/>
  <c r="J104" i="3"/>
  <c r="G104" i="3"/>
  <c r="C104" i="3"/>
  <c r="K103" i="3"/>
  <c r="J103" i="3"/>
  <c r="G103" i="3"/>
  <c r="C103" i="3"/>
  <c r="K102" i="3"/>
  <c r="J102" i="3"/>
  <c r="G102" i="3"/>
  <c r="C102" i="3"/>
  <c r="K101" i="3"/>
  <c r="J101" i="3"/>
  <c r="G101" i="3"/>
  <c r="C101" i="3"/>
  <c r="K100" i="3"/>
  <c r="J100" i="3"/>
  <c r="G100" i="3"/>
  <c r="C100" i="3"/>
  <c r="K99" i="3"/>
  <c r="J99" i="3"/>
  <c r="G99" i="3"/>
  <c r="C99" i="3"/>
  <c r="K98" i="3"/>
  <c r="J98" i="3"/>
  <c r="G98" i="3"/>
  <c r="C98" i="3"/>
  <c r="K97" i="3"/>
  <c r="J97" i="3"/>
  <c r="G97" i="3"/>
  <c r="C97" i="3"/>
  <c r="K96" i="3"/>
  <c r="J96" i="3"/>
  <c r="G96" i="3"/>
  <c r="C96" i="3"/>
  <c r="K95" i="3"/>
  <c r="J95" i="3"/>
  <c r="G95" i="3"/>
  <c r="C95" i="3"/>
  <c r="K94" i="3"/>
  <c r="J94" i="3"/>
  <c r="G94" i="3"/>
  <c r="C94" i="3"/>
  <c r="K93" i="3"/>
  <c r="J93" i="3"/>
  <c r="G93" i="3"/>
  <c r="C93" i="3"/>
  <c r="K92" i="3"/>
  <c r="J92" i="3"/>
  <c r="G92" i="3"/>
  <c r="C92" i="3"/>
  <c r="K91" i="3"/>
  <c r="J91" i="3"/>
  <c r="G91" i="3"/>
  <c r="C91" i="3"/>
  <c r="K90" i="3"/>
  <c r="J90" i="3"/>
  <c r="G90" i="3"/>
  <c r="C90" i="3"/>
  <c r="K89" i="3"/>
  <c r="J89" i="3"/>
  <c r="G89" i="3"/>
  <c r="C89" i="3"/>
  <c r="K88" i="3"/>
  <c r="J88" i="3"/>
  <c r="G88" i="3"/>
  <c r="C88" i="3"/>
  <c r="K87" i="3"/>
  <c r="J87" i="3"/>
  <c r="G87" i="3"/>
  <c r="C87" i="3"/>
  <c r="K86" i="3"/>
  <c r="J86" i="3"/>
  <c r="G86" i="3"/>
  <c r="C86" i="3"/>
  <c r="K85" i="3"/>
  <c r="J85" i="3"/>
  <c r="G85" i="3"/>
  <c r="C85" i="3"/>
  <c r="K84" i="3"/>
  <c r="J84" i="3"/>
  <c r="G84" i="3"/>
  <c r="C84" i="3"/>
  <c r="K83" i="3"/>
  <c r="J83" i="3"/>
  <c r="G83" i="3"/>
  <c r="C83" i="3"/>
  <c r="K82" i="3"/>
  <c r="J82" i="3"/>
  <c r="G82" i="3"/>
  <c r="C82" i="3"/>
  <c r="K81" i="3"/>
  <c r="J81" i="3"/>
  <c r="G81" i="3"/>
  <c r="C81" i="3"/>
  <c r="K80" i="3"/>
  <c r="J80" i="3"/>
  <c r="G80" i="3"/>
  <c r="C80" i="3"/>
  <c r="K79" i="3"/>
  <c r="J79" i="3"/>
  <c r="G79" i="3"/>
  <c r="C79" i="3"/>
  <c r="K78" i="3"/>
  <c r="J78" i="3"/>
  <c r="G78" i="3"/>
  <c r="C78" i="3"/>
  <c r="K77" i="3"/>
  <c r="J77" i="3"/>
  <c r="G77" i="3"/>
  <c r="C77" i="3"/>
  <c r="K76" i="3"/>
  <c r="J76" i="3"/>
  <c r="G76" i="3"/>
  <c r="C76" i="3"/>
  <c r="K75" i="3"/>
  <c r="J75" i="3"/>
  <c r="G75" i="3"/>
  <c r="C75" i="3"/>
  <c r="K74" i="3"/>
  <c r="J74" i="3"/>
  <c r="G74" i="3"/>
  <c r="C74" i="3"/>
  <c r="K73" i="3"/>
  <c r="J73" i="3"/>
  <c r="G73" i="3"/>
  <c r="C73" i="3"/>
  <c r="K72" i="3"/>
  <c r="J72" i="3"/>
  <c r="G72" i="3"/>
  <c r="C72" i="3"/>
  <c r="K71" i="3"/>
  <c r="J71" i="3"/>
  <c r="G71" i="3"/>
  <c r="C71" i="3"/>
  <c r="K70" i="3"/>
  <c r="J70" i="3"/>
  <c r="G70" i="3"/>
  <c r="C70" i="3"/>
  <c r="K69" i="3"/>
  <c r="J69" i="3"/>
  <c r="G69" i="3"/>
  <c r="C69" i="3"/>
  <c r="K68" i="3"/>
  <c r="J68" i="3"/>
  <c r="G68" i="3"/>
  <c r="C68" i="3"/>
  <c r="K67" i="3"/>
  <c r="J67" i="3"/>
  <c r="G67" i="3"/>
  <c r="C67" i="3"/>
  <c r="K66" i="3"/>
  <c r="J66" i="3"/>
  <c r="G66" i="3"/>
  <c r="C66" i="3"/>
  <c r="K65" i="3"/>
  <c r="J65" i="3"/>
  <c r="G65" i="3"/>
  <c r="C65" i="3"/>
  <c r="K64" i="3"/>
  <c r="J64" i="3"/>
  <c r="G64" i="3"/>
  <c r="C64" i="3"/>
  <c r="K63" i="3"/>
  <c r="J63" i="3"/>
  <c r="G63" i="3"/>
  <c r="C63" i="3"/>
  <c r="K62" i="3"/>
  <c r="J62" i="3"/>
  <c r="G62" i="3"/>
  <c r="C62" i="3"/>
  <c r="K61" i="3"/>
  <c r="J61" i="3"/>
  <c r="G61" i="3"/>
  <c r="C61" i="3"/>
  <c r="K60" i="3"/>
  <c r="J60" i="3"/>
  <c r="G60" i="3"/>
  <c r="C60" i="3"/>
  <c r="K59" i="3"/>
  <c r="J59" i="3"/>
  <c r="G59" i="3"/>
  <c r="C59" i="3"/>
  <c r="K58" i="3"/>
  <c r="J58" i="3"/>
  <c r="G58" i="3"/>
  <c r="C58" i="3"/>
  <c r="K57" i="3"/>
  <c r="J57" i="3"/>
  <c r="G57" i="3"/>
  <c r="C57" i="3"/>
  <c r="K56" i="3"/>
  <c r="J56" i="3"/>
  <c r="G56" i="3"/>
  <c r="C56" i="3"/>
  <c r="K55" i="3"/>
  <c r="J55" i="3"/>
  <c r="G55" i="3"/>
  <c r="C55" i="3"/>
  <c r="K54" i="3"/>
  <c r="J54" i="3"/>
  <c r="G54" i="3"/>
  <c r="C54" i="3"/>
  <c r="K53" i="3"/>
  <c r="J53" i="3"/>
  <c r="G53" i="3"/>
  <c r="C53" i="3"/>
  <c r="K52" i="3"/>
  <c r="J52" i="3"/>
  <c r="G52" i="3"/>
  <c r="C52" i="3"/>
  <c r="K51" i="3"/>
  <c r="J51" i="3"/>
  <c r="G51" i="3"/>
  <c r="C51" i="3"/>
  <c r="K50" i="3"/>
  <c r="J50" i="3"/>
  <c r="G50" i="3"/>
  <c r="C50" i="3"/>
  <c r="K49" i="3"/>
  <c r="J49" i="3"/>
  <c r="G49" i="3"/>
  <c r="C49" i="3"/>
  <c r="K48" i="3"/>
  <c r="J48" i="3"/>
  <c r="G48" i="3"/>
  <c r="C48" i="3"/>
  <c r="K47" i="3"/>
  <c r="J47" i="3"/>
  <c r="G47" i="3"/>
  <c r="C47" i="3"/>
  <c r="K46" i="3"/>
  <c r="J46" i="3"/>
  <c r="G46" i="3"/>
  <c r="C46" i="3"/>
  <c r="K45" i="3"/>
  <c r="J45" i="3"/>
  <c r="G45" i="3"/>
  <c r="C45" i="3"/>
  <c r="K44" i="3"/>
  <c r="J44" i="3"/>
  <c r="G44" i="3"/>
  <c r="C44" i="3"/>
  <c r="K43" i="3"/>
  <c r="J43" i="3"/>
  <c r="G43" i="3"/>
  <c r="C43" i="3"/>
  <c r="K42" i="3"/>
  <c r="J42" i="3"/>
  <c r="G42" i="3"/>
  <c r="C42" i="3"/>
  <c r="K41" i="3"/>
  <c r="J41" i="3"/>
  <c r="G41" i="3"/>
  <c r="C41" i="3"/>
  <c r="K40" i="3"/>
  <c r="J40" i="3"/>
  <c r="G40" i="3"/>
  <c r="C40" i="3"/>
  <c r="K39" i="3"/>
  <c r="J39" i="3" s="1"/>
  <c r="G39" i="3"/>
  <c r="C39" i="3"/>
  <c r="K38" i="3"/>
  <c r="J38" i="3" s="1"/>
  <c r="G38" i="3"/>
  <c r="C38" i="3"/>
  <c r="K37" i="3"/>
  <c r="J37" i="3" s="1"/>
  <c r="G37" i="3"/>
  <c r="C37" i="3"/>
  <c r="K36" i="3"/>
  <c r="J36" i="3" s="1"/>
  <c r="G36" i="3"/>
  <c r="C36" i="3"/>
  <c r="K35" i="3"/>
  <c r="J35" i="3" s="1"/>
  <c r="G35" i="3"/>
  <c r="C35" i="3"/>
  <c r="K34" i="3"/>
  <c r="J34" i="3" s="1"/>
  <c r="G34" i="3"/>
  <c r="C34" i="3"/>
  <c r="K33" i="3"/>
  <c r="J33" i="3" s="1"/>
  <c r="G33" i="3"/>
  <c r="C33" i="3"/>
  <c r="K32" i="3"/>
  <c r="J32" i="3" s="1"/>
  <c r="G32" i="3"/>
  <c r="C32" i="3"/>
  <c r="K31" i="3"/>
  <c r="J31" i="3" s="1"/>
  <c r="G31" i="3"/>
  <c r="C31" i="3"/>
  <c r="K30" i="3"/>
  <c r="J30" i="3" s="1"/>
  <c r="G30" i="3"/>
  <c r="C30" i="3"/>
  <c r="K29" i="3"/>
  <c r="J29" i="3" s="1"/>
  <c r="G29" i="3"/>
  <c r="C29" i="3"/>
  <c r="K28" i="3"/>
  <c r="J28" i="3" s="1"/>
  <c r="G28" i="3"/>
  <c r="C28" i="3"/>
  <c r="K27" i="3"/>
  <c r="J27" i="3" s="1"/>
  <c r="G27" i="3"/>
  <c r="C27" i="3"/>
  <c r="K26" i="3"/>
  <c r="J26" i="3" s="1"/>
  <c r="G26" i="3"/>
  <c r="C26" i="3"/>
  <c r="K25" i="3"/>
  <c r="J25" i="3" s="1"/>
  <c r="G25" i="3"/>
  <c r="C25" i="3"/>
  <c r="K24" i="3"/>
  <c r="J24" i="3" s="1"/>
  <c r="G24" i="3"/>
  <c r="C24" i="3"/>
  <c r="K23" i="3"/>
  <c r="J23" i="3" s="1"/>
  <c r="G23" i="3"/>
  <c r="C23" i="3"/>
  <c r="K22" i="3"/>
  <c r="J22" i="3" s="1"/>
  <c r="G22" i="3"/>
  <c r="C22" i="3"/>
  <c r="K21" i="3"/>
  <c r="J21" i="3" s="1"/>
  <c r="G21" i="3"/>
  <c r="C21" i="3"/>
  <c r="K20" i="3"/>
  <c r="J20" i="3" s="1"/>
  <c r="G20" i="3"/>
  <c r="C20" i="3"/>
  <c r="K19" i="3"/>
  <c r="J19" i="3" s="1"/>
  <c r="G19" i="3"/>
  <c r="C19" i="3"/>
  <c r="K18" i="3"/>
  <c r="J18" i="3" s="1"/>
  <c r="G18" i="3"/>
  <c r="C18" i="3"/>
  <c r="K17" i="3"/>
  <c r="J17" i="3" s="1"/>
  <c r="G17" i="3"/>
  <c r="C17" i="3"/>
  <c r="K16" i="3"/>
  <c r="J16" i="3" s="1"/>
  <c r="G16" i="3"/>
  <c r="C16" i="3"/>
  <c r="K15" i="3"/>
  <c r="J15" i="3" s="1"/>
  <c r="G15" i="3"/>
  <c r="C15" i="3"/>
  <c r="K14" i="3"/>
  <c r="J14" i="3" s="1"/>
  <c r="G14" i="3"/>
  <c r="C14" i="3"/>
  <c r="K13" i="3"/>
  <c r="J13" i="3" s="1"/>
  <c r="G13" i="3"/>
  <c r="C13" i="3"/>
  <c r="K12" i="3"/>
  <c r="J12" i="3" s="1"/>
  <c r="G12" i="3"/>
  <c r="C12" i="3"/>
  <c r="K11" i="3"/>
  <c r="J11" i="3" s="1"/>
  <c r="G11" i="3"/>
  <c r="C11" i="3"/>
  <c r="K10" i="3"/>
  <c r="J10" i="3" s="1"/>
  <c r="G10" i="3"/>
  <c r="C10" i="3"/>
  <c r="K9" i="3"/>
  <c r="J9" i="3" s="1"/>
  <c r="G9" i="3"/>
  <c r="C9" i="3"/>
  <c r="K8" i="3"/>
  <c r="J8" i="3" s="1"/>
  <c r="G8" i="3"/>
  <c r="C8" i="3"/>
  <c r="K7" i="3"/>
  <c r="J7" i="3" s="1"/>
  <c r="G7" i="3"/>
  <c r="C7" i="3"/>
  <c r="O6" i="3" a="1"/>
  <c r="O33" i="3" s="1"/>
  <c r="K6" i="3"/>
  <c r="J6" i="3" s="1"/>
  <c r="G6" i="3"/>
  <c r="C6" i="3"/>
  <c r="D12" i="4" l="1"/>
  <c r="H11" i="4"/>
  <c r="H10" i="4"/>
  <c r="I2" i="3"/>
  <c r="B3" i="3"/>
  <c r="H12" i="4"/>
  <c r="O10" i="3"/>
  <c r="O15" i="3"/>
  <c r="O20" i="3"/>
  <c r="O26" i="3"/>
  <c r="O31" i="3"/>
  <c r="O14" i="3"/>
  <c r="O19" i="3"/>
  <c r="O24" i="3"/>
  <c r="O6" i="3"/>
  <c r="O11" i="3"/>
  <c r="O16" i="3"/>
  <c r="O22" i="3"/>
  <c r="O27" i="3"/>
  <c r="O32" i="3"/>
  <c r="O8" i="3"/>
  <c r="O30" i="3"/>
  <c r="O7" i="3"/>
  <c r="O12" i="3"/>
  <c r="O18" i="3"/>
  <c r="O23" i="3"/>
  <c r="O28" i="3"/>
  <c r="O34" i="3"/>
  <c r="I3" i="3"/>
  <c r="D10" i="4"/>
  <c r="D44" i="4"/>
  <c r="D57" i="4"/>
  <c r="D15" i="4"/>
  <c r="D51" i="4"/>
  <c r="O9" i="3"/>
  <c r="O13" i="3"/>
  <c r="O17" i="3"/>
  <c r="O21" i="3"/>
  <c r="O25" i="3"/>
  <c r="O29" i="3"/>
  <c r="D16" i="4" l="1"/>
  <c r="D45" i="4" s="1"/>
  <c r="D52" i="4" s="1"/>
  <c r="D58" i="4" s="1"/>
</calcChain>
</file>

<file path=xl/sharedStrings.xml><?xml version="1.0" encoding="utf-8"?>
<sst xmlns="http://schemas.openxmlformats.org/spreadsheetml/2006/main" count="225" uniqueCount="105">
  <si>
    <t>Settings Summary</t>
  </si>
  <si>
    <t>Chart of Accounts</t>
  </si>
  <si>
    <t>CATEGORY TYPE</t>
  </si>
  <si>
    <t>CATEGORY NAME</t>
  </si>
  <si>
    <t>INSTRUCTIONS</t>
  </si>
  <si>
    <t>Trading Income</t>
  </si>
  <si>
    <t>Sales Revenue</t>
  </si>
  <si>
    <t>BUSINESS NAME</t>
  </si>
  <si>
    <t>Refunds to Customers</t>
  </si>
  <si>
    <r>
      <t xml:space="preserve">- Enter your </t>
    </r>
    <r>
      <rPr>
        <b/>
        <sz val="12"/>
        <color theme="1"/>
        <rFont val="Calibri"/>
        <family val="2"/>
        <scheme val="minor"/>
      </rPr>
      <t>Business Name</t>
    </r>
  </si>
  <si>
    <r>
      <t xml:space="preserve">- Choose your preferred </t>
    </r>
    <r>
      <rPr>
        <b/>
        <sz val="12"/>
        <color theme="1"/>
        <rFont val="Calibri"/>
        <family val="2"/>
        <scheme val="minor"/>
      </rPr>
      <t>Report Name</t>
    </r>
  </si>
  <si>
    <t>REPORT NAME</t>
  </si>
  <si>
    <t>Income Statement</t>
  </si>
  <si>
    <t>Cost of Sales</t>
  </si>
  <si>
    <t>Purchases</t>
  </si>
  <si>
    <r>
      <t xml:space="preserve">- Enter the </t>
    </r>
    <r>
      <rPr>
        <b/>
        <sz val="12"/>
        <color theme="1"/>
        <rFont val="Calibri"/>
        <family val="2"/>
        <scheme val="minor"/>
      </rPr>
      <t>Start Date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End Date</t>
    </r>
    <r>
      <rPr>
        <sz val="12"/>
        <color theme="1"/>
        <rFont val="Calibri"/>
        <family val="2"/>
        <scheme val="minor"/>
      </rPr>
      <t xml:space="preserve"> in the format </t>
    </r>
    <r>
      <rPr>
        <b/>
        <sz val="12"/>
        <color rgb="FFFF0000"/>
        <rFont val="Calibri"/>
        <family val="2"/>
        <scheme val="minor"/>
      </rPr>
      <t>dd-mm-yyyy</t>
    </r>
  </si>
  <si>
    <t>Returns to Suppliers</t>
  </si>
  <si>
    <r>
      <t xml:space="preserve">- Enter up to </t>
    </r>
    <r>
      <rPr>
        <b/>
        <sz val="12"/>
        <color rgb="FFFF0000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 xml:space="preserve"> Category Names for </t>
    </r>
    <r>
      <rPr>
        <b/>
        <sz val="12"/>
        <color theme="1"/>
        <rFont val="Calibri"/>
        <family val="2"/>
        <scheme val="minor"/>
      </rPr>
      <t>Trading Income</t>
    </r>
  </si>
  <si>
    <t>START DATE</t>
  </si>
  <si>
    <r>
      <t xml:space="preserve">- Enter up to </t>
    </r>
    <r>
      <rPr>
        <b/>
        <sz val="12"/>
        <color rgb="FFFF0000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 xml:space="preserve"> Category Names for </t>
    </r>
    <r>
      <rPr>
        <b/>
        <sz val="12"/>
        <color theme="1"/>
        <rFont val="Calibri"/>
        <family val="2"/>
        <scheme val="minor"/>
      </rPr>
      <t>Cost of Sales</t>
    </r>
  </si>
  <si>
    <t>END DATE</t>
  </si>
  <si>
    <t>Expenses</t>
  </si>
  <si>
    <t>Advertising and Marketing</t>
  </si>
  <si>
    <r>
      <t xml:space="preserve">- Enter up to </t>
    </r>
    <r>
      <rPr>
        <b/>
        <sz val="12"/>
        <color rgb="FFFF0000"/>
        <rFont val="Calibri"/>
        <family val="2"/>
        <scheme val="minor"/>
      </rPr>
      <t>25</t>
    </r>
    <r>
      <rPr>
        <sz val="12"/>
        <color theme="1"/>
        <rFont val="Calibri"/>
        <family val="2"/>
        <scheme val="minor"/>
      </rPr>
      <t xml:space="preserve"> Category Names for </t>
    </r>
    <r>
      <rPr>
        <b/>
        <sz val="12"/>
        <color theme="1"/>
        <rFont val="Calibri"/>
        <family val="2"/>
        <scheme val="minor"/>
      </rPr>
      <t>Expenses</t>
    </r>
  </si>
  <si>
    <t>Bank Fees</t>
  </si>
  <si>
    <r>
      <t xml:space="preserve">- Enter up to </t>
    </r>
    <r>
      <rPr>
        <b/>
        <sz val="12"/>
        <color rgb="FFFF0000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 xml:space="preserve"> Category Names for </t>
    </r>
    <r>
      <rPr>
        <b/>
        <sz val="12"/>
        <color theme="1"/>
        <rFont val="Calibri"/>
        <family val="2"/>
        <scheme val="minor"/>
      </rPr>
      <t>Other Income</t>
    </r>
  </si>
  <si>
    <t>Business Meals</t>
  </si>
  <si>
    <r>
      <t xml:space="preserve">- Enter up to </t>
    </r>
    <r>
      <rPr>
        <b/>
        <sz val="12"/>
        <color rgb="FFFF0000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Category Names for </t>
    </r>
    <r>
      <rPr>
        <b/>
        <sz val="12"/>
        <color theme="1"/>
        <rFont val="Calibri"/>
        <family val="2"/>
        <scheme val="minor"/>
      </rPr>
      <t>Taxed Paid</t>
    </r>
  </si>
  <si>
    <t>Client Entertainment</t>
  </si>
  <si>
    <r>
      <t xml:space="preserve">- Enter up to </t>
    </r>
    <r>
      <rPr>
        <b/>
        <sz val="12"/>
        <color rgb="FFFF0000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 xml:space="preserve"> Category Names for </t>
    </r>
    <r>
      <rPr>
        <b/>
        <sz val="12"/>
        <color theme="1"/>
        <rFont val="Calibri"/>
        <family val="2"/>
        <scheme val="minor"/>
      </rPr>
      <t>Capital Purchases</t>
    </r>
  </si>
  <si>
    <t>Computers Expenses</t>
  </si>
  <si>
    <t>Motor Vehicle Expenses</t>
  </si>
  <si>
    <t>Contractors</t>
  </si>
  <si>
    <t>Insurance Fees</t>
  </si>
  <si>
    <t>Interest Paid</t>
  </si>
  <si>
    <t>Professional Fees</t>
  </si>
  <si>
    <t>Licenses or Fees</t>
  </si>
  <si>
    <t>Miscellaneous Expenses</t>
  </si>
  <si>
    <t>Telephone and Internet</t>
  </si>
  <si>
    <t>Electricity and Gas</t>
  </si>
  <si>
    <t>Postage and Shipping</t>
  </si>
  <si>
    <t>Rent or Lease</t>
  </si>
  <si>
    <t>Software Expenses</t>
  </si>
  <si>
    <t>Supplies</t>
  </si>
  <si>
    <t>Travel and Transportation</t>
  </si>
  <si>
    <t>Mehtab Personal Expenses</t>
  </si>
  <si>
    <t>Other Income</t>
  </si>
  <si>
    <t>Interest Income</t>
  </si>
  <si>
    <t>Taxes Paid</t>
  </si>
  <si>
    <t>Tax Paid</t>
  </si>
  <si>
    <t>Capital Purchases</t>
  </si>
  <si>
    <t>Motor Vehicles</t>
  </si>
  <si>
    <t>Computer Hardware</t>
  </si>
  <si>
    <t>Furniture</t>
  </si>
  <si>
    <t>Transactions</t>
  </si>
  <si>
    <t>DATE</t>
  </si>
  <si>
    <t>DESCRIPTION</t>
  </si>
  <si>
    <t>AMOUNT</t>
  </si>
  <si>
    <t>Sale</t>
  </si>
  <si>
    <t>Inventory</t>
  </si>
  <si>
    <r>
      <t xml:space="preserve">Enter up to </t>
    </r>
    <r>
      <rPr>
        <b/>
        <i/>
        <sz val="12"/>
        <color rgb="FFFF0000"/>
        <rFont val="Calibri"/>
        <family val="2"/>
        <scheme val="minor"/>
      </rPr>
      <t>1,000</t>
    </r>
    <r>
      <rPr>
        <i/>
        <sz val="12"/>
        <color theme="1"/>
        <rFont val="Calibri"/>
        <family val="2"/>
        <scheme val="minor"/>
      </rPr>
      <t xml:space="preserve"> transactions. For each transaction:</t>
    </r>
  </si>
  <si>
    <t>Customer refund</t>
  </si>
  <si>
    <r>
      <t xml:space="preserve">- The </t>
    </r>
    <r>
      <rPr>
        <b/>
        <i/>
        <sz val="12"/>
        <color theme="1"/>
        <rFont val="Calibri"/>
        <family val="2"/>
        <scheme val="minor"/>
      </rPr>
      <t>Date</t>
    </r>
    <r>
      <rPr>
        <i/>
        <sz val="12"/>
        <color theme="1"/>
        <rFont val="Calibri"/>
        <family val="2"/>
        <scheme val="minor"/>
      </rPr>
      <t xml:space="preserve"> must be within the date range on the Settings tab</t>
    </r>
  </si>
  <si>
    <t>Bank interest received</t>
  </si>
  <si>
    <r>
      <t xml:space="preserve">- The </t>
    </r>
    <r>
      <rPr>
        <b/>
        <i/>
        <sz val="12"/>
        <color theme="1"/>
        <rFont val="Calibri"/>
        <family val="2"/>
        <scheme val="minor"/>
      </rPr>
      <t>Description</t>
    </r>
    <r>
      <rPr>
        <i/>
        <sz val="12"/>
        <color theme="1"/>
        <rFont val="Calibri"/>
        <family val="2"/>
        <scheme val="minor"/>
      </rPr>
      <t xml:space="preserve"> can be anything you like</t>
    </r>
  </si>
  <si>
    <t>Electricity bill</t>
  </si>
  <si>
    <r>
      <t xml:space="preserve">- All </t>
    </r>
    <r>
      <rPr>
        <b/>
        <i/>
        <sz val="12"/>
        <color theme="1"/>
        <rFont val="Calibri"/>
        <family val="2"/>
        <scheme val="minor"/>
      </rPr>
      <t>Amounts</t>
    </r>
    <r>
      <rPr>
        <i/>
        <sz val="12"/>
        <color theme="1"/>
        <rFont val="Calibri"/>
        <family val="2"/>
        <scheme val="minor"/>
      </rPr>
      <t xml:space="preserve"> must be </t>
    </r>
    <r>
      <rPr>
        <b/>
        <i/>
        <sz val="12"/>
        <color rgb="FFFF0000"/>
        <rFont val="Calibri"/>
        <family val="2"/>
        <scheme val="minor"/>
      </rPr>
      <t>positive</t>
    </r>
    <r>
      <rPr>
        <i/>
        <sz val="12"/>
        <color theme="1"/>
        <rFont val="Calibri"/>
        <family val="2"/>
        <scheme val="minor"/>
      </rPr>
      <t xml:space="preserve"> numbers (no negatives)</t>
    </r>
  </si>
  <si>
    <t>Income tax paid</t>
  </si>
  <si>
    <r>
      <t xml:space="preserve">- Choose a </t>
    </r>
    <r>
      <rPr>
        <b/>
        <i/>
        <sz val="12"/>
        <color theme="1"/>
        <rFont val="Calibri"/>
        <family val="2"/>
        <scheme val="minor"/>
      </rPr>
      <t>Category Name</t>
    </r>
    <r>
      <rPr>
        <i/>
        <sz val="12"/>
        <color theme="1"/>
        <rFont val="Calibri"/>
        <family val="2"/>
        <scheme val="minor"/>
      </rPr>
      <t xml:space="preserve"> from the Chart of Accounts</t>
    </r>
  </si>
  <si>
    <t>Revenue</t>
  </si>
  <si>
    <t>** Warning: if you change a Category Name in the Chart of Accounts</t>
  </si>
  <si>
    <t>Purchased stock</t>
  </si>
  <si>
    <t xml:space="preserve">      you'll need to update your Category Name selections here!</t>
  </si>
  <si>
    <t>Stock returned to supplier</t>
  </si>
  <si>
    <t>Google marketing bill</t>
  </si>
  <si>
    <t>Transaction fees</t>
  </si>
  <si>
    <t xml:space="preserve">Meal </t>
  </si>
  <si>
    <t>Meal with clients</t>
  </si>
  <si>
    <t>Software license</t>
  </si>
  <si>
    <t>Petrol for car</t>
  </si>
  <si>
    <t>J. Jones contractor payment</t>
  </si>
  <si>
    <t>PI insurance premium</t>
  </si>
  <si>
    <t>Bank interest paid</t>
  </si>
  <si>
    <t>Accountant fee</t>
  </si>
  <si>
    <t>Business name license</t>
  </si>
  <si>
    <t>Repairs to the door</t>
  </si>
  <si>
    <t>Phone bill</t>
  </si>
  <si>
    <t>Gas bill for quarter</t>
  </si>
  <si>
    <t>Courier costs</t>
  </si>
  <si>
    <t>Monthly rent</t>
  </si>
  <si>
    <t>Microsoft license renewal</t>
  </si>
  <si>
    <t>Stationery supplies</t>
  </si>
  <si>
    <t>Train ticket to conference</t>
  </si>
  <si>
    <t>Meal Expense oct-23</t>
  </si>
  <si>
    <t>Manager Expenses OCT-23</t>
  </si>
  <si>
    <t>Sales to Mr. ABC</t>
  </si>
  <si>
    <t>End</t>
  </si>
  <si>
    <t>Fixed Asset Category</t>
  </si>
  <si>
    <t xml:space="preserve"> </t>
  </si>
  <si>
    <t>TOTAL CAPITAL PURCHASES</t>
  </si>
  <si>
    <t>GROSS PROFIT/(LOSS)</t>
  </si>
  <si>
    <t>OPERATING PROFIT/(LOSS)</t>
  </si>
  <si>
    <t>PROFIT/(LOSS) BEFORE TAX</t>
  </si>
  <si>
    <t>PROFIT/(LOSS) AFTER TAX</t>
  </si>
  <si>
    <t>Alham 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</si>
</sst>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d\-mmm\-yyyy"/>
    <numFmt numFmtId="166" formatCode="#,##0.00_ ;[Red]\(#,##0.00\)"/>
    <numFmt numFmtId="167" formatCode="[$-C09]dd\-mmm\-yy;@"/>
    <numFmt numFmtId="168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0F3FA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2">
    <xf numFmtId="0" fontId="0" fillId="0" borderId="0"/>
    <xf numFmtId="168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2" borderId="0" xfId="0" applyFont="1" applyFill="1"/>
    <xf numFmtId="0" fontId="3" fillId="3" borderId="1" xfId="0" applyFont="1" applyFill="1" applyBorder="1"/>
    <xf numFmtId="0" fontId="3" fillId="4" borderId="1" xfId="0" applyFont="1" applyFill="1" applyBorder="1" applyProtection="1">
      <protection locked="0"/>
    </xf>
    <xf numFmtId="0" fontId="3" fillId="5" borderId="0" xfId="0" applyFont="1" applyFill="1"/>
    <xf numFmtId="0" fontId="3" fillId="3" borderId="1" xfId="0" applyFont="1" applyFill="1" applyBorder="1" applyProtection="1">
      <protection locked="0"/>
    </xf>
    <xf numFmtId="0" fontId="3" fillId="5" borderId="0" xfId="0" quotePrefix="1" applyFont="1" applyFill="1"/>
    <xf numFmtId="164" fontId="3" fillId="3" borderId="1" xfId="0" applyNumberFormat="1" applyFont="1" applyFill="1" applyBorder="1" applyAlignment="1" applyProtection="1">
      <alignment horizontal="left"/>
      <protection locked="0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165" fontId="3" fillId="4" borderId="1" xfId="0" applyNumberFormat="1" applyFont="1" applyFill="1" applyBorder="1" applyAlignment="1" applyProtection="1">
      <alignment horizontal="center"/>
      <protection locked="0"/>
    </xf>
    <xf numFmtId="0" fontId="3" fillId="7" borderId="0" xfId="0" applyFont="1" applyFill="1" applyAlignment="1">
      <alignment horizontal="center"/>
    </xf>
    <xf numFmtId="0" fontId="3" fillId="7" borderId="1" xfId="0" applyFont="1" applyFill="1" applyBorder="1"/>
    <xf numFmtId="166" fontId="9" fillId="2" borderId="1" xfId="0" applyNumberFormat="1" applyFont="1" applyFill="1" applyBorder="1" applyAlignment="1" applyProtection="1">
      <alignment horizontal="center"/>
      <protection locked="0"/>
    </xf>
    <xf numFmtId="166" fontId="3" fillId="7" borderId="1" xfId="0" applyNumberFormat="1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3" fillId="7" borderId="0" xfId="0" applyFont="1" applyFill="1"/>
    <xf numFmtId="0" fontId="10" fillId="4" borderId="0" xfId="0" applyFont="1" applyFill="1"/>
    <xf numFmtId="0" fontId="10" fillId="4" borderId="0" xfId="0" quotePrefix="1" applyFont="1" applyFill="1"/>
    <xf numFmtId="0" fontId="13" fillId="4" borderId="0" xfId="0" quotePrefix="1" applyFont="1" applyFill="1"/>
    <xf numFmtId="0" fontId="13" fillId="4" borderId="0" xfId="0" applyFont="1" applyFill="1"/>
    <xf numFmtId="0" fontId="2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167" fontId="3" fillId="0" borderId="0" xfId="0" applyNumberFormat="1" applyFont="1" applyAlignment="1">
      <alignment horizontal="centerContinuous"/>
    </xf>
    <xf numFmtId="0" fontId="5" fillId="0" borderId="0" xfId="0" applyFont="1"/>
    <xf numFmtId="0" fontId="14" fillId="2" borderId="0" xfId="0" applyFont="1" applyFill="1"/>
    <xf numFmtId="166" fontId="14" fillId="2" borderId="0" xfId="0" applyNumberFormat="1" applyFont="1" applyFill="1"/>
    <xf numFmtId="0" fontId="5" fillId="8" borderId="0" xfId="0" applyFont="1" applyFill="1"/>
    <xf numFmtId="0" fontId="3" fillId="8" borderId="2" xfId="0" applyFont="1" applyFill="1" applyBorder="1"/>
    <xf numFmtId="166" fontId="3" fillId="8" borderId="2" xfId="1" applyNumberFormat="1" applyFont="1" applyFill="1" applyBorder="1" applyProtection="1">
      <protection hidden="1"/>
    </xf>
    <xf numFmtId="0" fontId="3" fillId="8" borderId="3" xfId="0" applyFont="1" applyFill="1" applyBorder="1"/>
    <xf numFmtId="166" fontId="3" fillId="8" borderId="3" xfId="1" applyNumberFormat="1" applyFont="1" applyFill="1" applyBorder="1" applyProtection="1">
      <protection hidden="1"/>
    </xf>
    <xf numFmtId="0" fontId="3" fillId="8" borderId="4" xfId="0" applyFont="1" applyFill="1" applyBorder="1"/>
    <xf numFmtId="166" fontId="3" fillId="8" borderId="4" xfId="1" applyNumberFormat="1" applyFont="1" applyFill="1" applyBorder="1" applyProtection="1">
      <protection hidden="1"/>
    </xf>
    <xf numFmtId="0" fontId="5" fillId="3" borderId="0" xfId="0" applyFont="1" applyFill="1"/>
    <xf numFmtId="0" fontId="3" fillId="3" borderId="0" xfId="0" applyFont="1" applyFill="1"/>
    <xf numFmtId="166" fontId="3" fillId="3" borderId="0" xfId="1" applyNumberFormat="1" applyFont="1" applyFill="1" applyBorder="1" applyProtection="1">
      <protection hidden="1"/>
    </xf>
    <xf numFmtId="166" fontId="3" fillId="8" borderId="0" xfId="1" applyNumberFormat="1" applyFont="1" applyFill="1" applyBorder="1" applyProtection="1">
      <protection hidden="1"/>
    </xf>
    <xf numFmtId="166" fontId="3" fillId="0" borderId="0" xfId="1" applyNumberFormat="1" applyFont="1" applyProtection="1">
      <protection hidden="1"/>
    </xf>
    <xf numFmtId="0" fontId="15" fillId="3" borderId="0" xfId="0" applyFont="1" applyFill="1"/>
    <xf numFmtId="166" fontId="3" fillId="0" borderId="0" xfId="0" applyNumberFormat="1" applyFont="1"/>
    <xf numFmtId="0" fontId="4" fillId="2" borderId="0" xfId="0" applyFont="1" applyFill="1" applyAlignment="1">
      <alignment horizontal="center"/>
    </xf>
  </cellXfs>
  <cellStyles count="2">
    <cellStyle name="Comma 2" xfId="1" xr:uid="{1A321F68-2194-4381-8E47-CDBA40E1A0D5}"/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A781-74AE-4D74-91B6-24FF74D385D4}">
  <dimension ref="B2:O45"/>
  <sheetViews>
    <sheetView zoomScale="85" zoomScaleNormal="85" workbookViewId="0">
      <pane ySplit="4" topLeftCell="A5" activePane="bottomLeft" state="frozen"/>
      <selection activeCell="D17" sqref="D17"/>
      <selection pane="bottomLeft" activeCell="C20" sqref="C20"/>
    </sheetView>
  </sheetViews>
  <sheetFormatPr defaultColWidth="9.140625" defaultRowHeight="15.75" x14ac:dyDescent="0.25"/>
  <cols>
    <col min="1" max="1" width="5.7109375" style="2" customWidth="1"/>
    <col min="2" max="2" width="24.85546875" style="2" customWidth="1"/>
    <col min="3" max="3" width="36.28515625" style="2" bestFit="1" customWidth="1"/>
    <col min="4" max="4" width="10.7109375" style="2" customWidth="1"/>
    <col min="5" max="5" width="21.42578125" style="2" customWidth="1"/>
    <col min="6" max="6" width="36.5703125" style="2" customWidth="1"/>
    <col min="7" max="7" width="10.7109375" style="2" customWidth="1"/>
    <col min="8" max="8" width="4" style="2" customWidth="1"/>
    <col min="9" max="14" width="9.140625" style="2"/>
    <col min="15" max="15" width="9.140625" style="2" customWidth="1"/>
    <col min="16" max="16384" width="9.140625" style="2"/>
  </cols>
  <sheetData>
    <row r="2" spans="2:15" ht="28.5" x14ac:dyDescent="0.45">
      <c r="B2" s="1" t="s">
        <v>0</v>
      </c>
      <c r="E2" s="1" t="s">
        <v>1</v>
      </c>
    </row>
    <row r="4" spans="2:15" x14ac:dyDescent="0.25">
      <c r="E4" s="3" t="s">
        <v>2</v>
      </c>
      <c r="F4" s="3" t="s">
        <v>3</v>
      </c>
      <c r="H4" s="3" t="s">
        <v>4</v>
      </c>
      <c r="I4" s="3"/>
      <c r="J4" s="3"/>
      <c r="K4" s="3"/>
      <c r="L4" s="3"/>
      <c r="M4" s="3"/>
      <c r="N4" s="3"/>
      <c r="O4" s="3"/>
    </row>
    <row r="5" spans="2:15" x14ac:dyDescent="0.25">
      <c r="E5" s="4" t="s">
        <v>5</v>
      </c>
      <c r="F5" s="5" t="s">
        <v>6</v>
      </c>
      <c r="H5" s="6"/>
      <c r="I5" s="6"/>
      <c r="J5" s="6"/>
      <c r="K5" s="6"/>
      <c r="L5" s="6"/>
      <c r="M5" s="6"/>
      <c r="N5" s="6"/>
      <c r="O5" s="6"/>
    </row>
    <row r="6" spans="2:15" x14ac:dyDescent="0.25">
      <c r="B6" s="3" t="s">
        <v>7</v>
      </c>
      <c r="C6" s="7" t="s">
        <v>104</v>
      </c>
      <c r="E6" s="4" t="s">
        <v>5</v>
      </c>
      <c r="F6" s="5" t="s">
        <v>8</v>
      </c>
      <c r="H6" s="6"/>
      <c r="I6" s="8" t="s">
        <v>9</v>
      </c>
      <c r="J6" s="6"/>
      <c r="K6" s="6"/>
      <c r="L6" s="6"/>
      <c r="M6" s="6"/>
      <c r="N6" s="6"/>
      <c r="O6" s="6"/>
    </row>
    <row r="7" spans="2:15" x14ac:dyDescent="0.25">
      <c r="E7" s="4" t="s">
        <v>5</v>
      </c>
      <c r="F7" s="5"/>
      <c r="H7" s="6"/>
      <c r="I7" s="8" t="s">
        <v>10</v>
      </c>
      <c r="J7" s="6"/>
      <c r="K7" s="6"/>
      <c r="L7" s="6"/>
      <c r="M7" s="6"/>
      <c r="N7" s="6"/>
      <c r="O7" s="6"/>
    </row>
    <row r="8" spans="2:15" x14ac:dyDescent="0.25">
      <c r="B8" s="3" t="s">
        <v>11</v>
      </c>
      <c r="C8" s="7" t="s">
        <v>12</v>
      </c>
      <c r="E8" s="4" t="s">
        <v>13</v>
      </c>
      <c r="F8" s="5" t="s">
        <v>14</v>
      </c>
      <c r="H8" s="6"/>
      <c r="I8" s="8" t="s">
        <v>15</v>
      </c>
      <c r="J8" s="6"/>
      <c r="K8" s="6"/>
      <c r="L8" s="6"/>
      <c r="M8" s="6"/>
      <c r="N8" s="6"/>
      <c r="O8" s="6"/>
    </row>
    <row r="9" spans="2:15" x14ac:dyDescent="0.25">
      <c r="E9" s="4" t="s">
        <v>13</v>
      </c>
      <c r="F9" s="5" t="s">
        <v>16</v>
      </c>
      <c r="H9" s="6"/>
      <c r="I9" s="8" t="s">
        <v>17</v>
      </c>
      <c r="J9" s="6"/>
      <c r="K9" s="6"/>
      <c r="L9" s="6"/>
      <c r="M9" s="6"/>
      <c r="N9" s="6"/>
      <c r="O9" s="6"/>
    </row>
    <row r="10" spans="2:15" x14ac:dyDescent="0.25">
      <c r="B10" s="3" t="s">
        <v>18</v>
      </c>
      <c r="C10" s="9">
        <v>45108</v>
      </c>
      <c r="E10" s="4" t="s">
        <v>13</v>
      </c>
      <c r="F10" s="5"/>
      <c r="H10" s="6"/>
      <c r="I10" s="8" t="s">
        <v>19</v>
      </c>
      <c r="J10" s="6"/>
      <c r="K10" s="6"/>
      <c r="L10" s="6"/>
      <c r="M10" s="6"/>
      <c r="N10" s="6"/>
      <c r="O10" s="6"/>
    </row>
    <row r="11" spans="2:15" x14ac:dyDescent="0.25">
      <c r="B11" s="3" t="s">
        <v>20</v>
      </c>
      <c r="C11" s="9">
        <v>45473</v>
      </c>
      <c r="E11" s="4" t="s">
        <v>21</v>
      </c>
      <c r="F11" s="5" t="s">
        <v>22</v>
      </c>
      <c r="H11" s="6"/>
      <c r="I11" s="8" t="s">
        <v>23</v>
      </c>
      <c r="J11" s="6"/>
      <c r="K11" s="6"/>
      <c r="L11" s="6"/>
      <c r="M11" s="6"/>
      <c r="N11" s="6"/>
      <c r="O11" s="6"/>
    </row>
    <row r="12" spans="2:15" x14ac:dyDescent="0.25">
      <c r="E12" s="4" t="s">
        <v>21</v>
      </c>
      <c r="F12" s="5" t="s">
        <v>24</v>
      </c>
      <c r="H12" s="6"/>
      <c r="I12" s="8" t="s">
        <v>25</v>
      </c>
      <c r="J12" s="6"/>
      <c r="K12" s="6"/>
      <c r="L12" s="6"/>
      <c r="M12" s="6"/>
      <c r="N12" s="6"/>
      <c r="O12" s="6"/>
    </row>
    <row r="13" spans="2:15" x14ac:dyDescent="0.25">
      <c r="E13" s="4" t="s">
        <v>21</v>
      </c>
      <c r="F13" s="5" t="s">
        <v>26</v>
      </c>
      <c r="H13" s="6"/>
      <c r="I13" s="8" t="s">
        <v>27</v>
      </c>
      <c r="J13" s="6"/>
      <c r="K13" s="6"/>
      <c r="L13" s="6"/>
      <c r="M13" s="6"/>
      <c r="N13" s="6"/>
      <c r="O13" s="6"/>
    </row>
    <row r="14" spans="2:15" x14ac:dyDescent="0.25">
      <c r="E14" s="4" t="s">
        <v>21</v>
      </c>
      <c r="F14" s="5" t="s">
        <v>28</v>
      </c>
      <c r="H14" s="6"/>
      <c r="I14" s="8" t="s">
        <v>29</v>
      </c>
      <c r="J14" s="6"/>
      <c r="K14" s="6"/>
      <c r="L14" s="6"/>
      <c r="M14" s="6"/>
      <c r="N14" s="6"/>
      <c r="O14" s="6"/>
    </row>
    <row r="15" spans="2:15" x14ac:dyDescent="0.25">
      <c r="E15" s="4" t="s">
        <v>21</v>
      </c>
      <c r="F15" s="5" t="s">
        <v>30</v>
      </c>
      <c r="H15" s="6"/>
      <c r="I15" s="6"/>
      <c r="J15" s="6"/>
      <c r="K15" s="6"/>
      <c r="L15" s="6"/>
      <c r="M15" s="6"/>
      <c r="N15" s="6"/>
      <c r="O15" s="6"/>
    </row>
    <row r="16" spans="2:15" x14ac:dyDescent="0.25">
      <c r="E16" s="4" t="s">
        <v>21</v>
      </c>
      <c r="F16" s="5" t="s">
        <v>31</v>
      </c>
    </row>
    <row r="17" spans="5:6" x14ac:dyDescent="0.25">
      <c r="E17" s="4" t="s">
        <v>21</v>
      </c>
      <c r="F17" s="5" t="s">
        <v>32</v>
      </c>
    </row>
    <row r="18" spans="5:6" x14ac:dyDescent="0.25">
      <c r="E18" s="4" t="s">
        <v>21</v>
      </c>
      <c r="F18" s="5" t="s">
        <v>33</v>
      </c>
    </row>
    <row r="19" spans="5:6" x14ac:dyDescent="0.25">
      <c r="E19" s="4" t="s">
        <v>21</v>
      </c>
      <c r="F19" s="5" t="s">
        <v>34</v>
      </c>
    </row>
    <row r="20" spans="5:6" x14ac:dyDescent="0.25">
      <c r="E20" s="4" t="s">
        <v>21</v>
      </c>
      <c r="F20" s="5" t="s">
        <v>35</v>
      </c>
    </row>
    <row r="21" spans="5:6" x14ac:dyDescent="0.25">
      <c r="E21" s="4" t="s">
        <v>21</v>
      </c>
      <c r="F21" s="5" t="s">
        <v>36</v>
      </c>
    </row>
    <row r="22" spans="5:6" x14ac:dyDescent="0.25">
      <c r="E22" s="4" t="s">
        <v>21</v>
      </c>
      <c r="F22" s="5" t="s">
        <v>37</v>
      </c>
    </row>
    <row r="23" spans="5:6" x14ac:dyDescent="0.25">
      <c r="E23" s="4" t="s">
        <v>21</v>
      </c>
      <c r="F23" s="5" t="s">
        <v>38</v>
      </c>
    </row>
    <row r="24" spans="5:6" x14ac:dyDescent="0.25">
      <c r="E24" s="4" t="s">
        <v>21</v>
      </c>
      <c r="F24" s="5" t="s">
        <v>39</v>
      </c>
    </row>
    <row r="25" spans="5:6" x14ac:dyDescent="0.25">
      <c r="E25" s="4" t="s">
        <v>21</v>
      </c>
      <c r="F25" s="5" t="s">
        <v>40</v>
      </c>
    </row>
    <row r="26" spans="5:6" x14ac:dyDescent="0.25">
      <c r="E26" s="4" t="s">
        <v>21</v>
      </c>
      <c r="F26" s="5" t="s">
        <v>41</v>
      </c>
    </row>
    <row r="27" spans="5:6" x14ac:dyDescent="0.25">
      <c r="E27" s="4" t="s">
        <v>21</v>
      </c>
      <c r="F27" s="5" t="s">
        <v>42</v>
      </c>
    </row>
    <row r="28" spans="5:6" x14ac:dyDescent="0.25">
      <c r="E28" s="4" t="s">
        <v>21</v>
      </c>
      <c r="F28" s="5" t="s">
        <v>43</v>
      </c>
    </row>
    <row r="29" spans="5:6" x14ac:dyDescent="0.25">
      <c r="E29" s="4" t="s">
        <v>21</v>
      </c>
      <c r="F29" s="5" t="s">
        <v>44</v>
      </c>
    </row>
    <row r="30" spans="5:6" x14ac:dyDescent="0.25">
      <c r="E30" s="4" t="s">
        <v>21</v>
      </c>
      <c r="F30" s="5" t="s">
        <v>45</v>
      </c>
    </row>
    <row r="31" spans="5:6" x14ac:dyDescent="0.25">
      <c r="E31" s="4" t="s">
        <v>21</v>
      </c>
      <c r="F31" s="5"/>
    </row>
    <row r="32" spans="5:6" x14ac:dyDescent="0.25">
      <c r="E32" s="4" t="s">
        <v>21</v>
      </c>
      <c r="F32" s="5"/>
    </row>
    <row r="33" spans="5:6" x14ac:dyDescent="0.25">
      <c r="E33" s="4" t="s">
        <v>21</v>
      </c>
      <c r="F33" s="5"/>
    </row>
    <row r="34" spans="5:6" x14ac:dyDescent="0.25">
      <c r="E34" s="4" t="s">
        <v>21</v>
      </c>
      <c r="F34" s="5"/>
    </row>
    <row r="35" spans="5:6" x14ac:dyDescent="0.25">
      <c r="E35" s="4" t="s">
        <v>21</v>
      </c>
      <c r="F35" s="5"/>
    </row>
    <row r="36" spans="5:6" x14ac:dyDescent="0.25">
      <c r="E36" s="4" t="s">
        <v>46</v>
      </c>
      <c r="F36" s="5" t="s">
        <v>47</v>
      </c>
    </row>
    <row r="37" spans="5:6" x14ac:dyDescent="0.25">
      <c r="E37" s="4" t="s">
        <v>46</v>
      </c>
      <c r="F37" s="5" t="s">
        <v>46</v>
      </c>
    </row>
    <row r="38" spans="5:6" x14ac:dyDescent="0.25">
      <c r="E38" s="4" t="s">
        <v>46</v>
      </c>
      <c r="F38" s="5"/>
    </row>
    <row r="39" spans="5:6" x14ac:dyDescent="0.25">
      <c r="E39" s="4" t="s">
        <v>48</v>
      </c>
      <c r="F39" s="5" t="s">
        <v>49</v>
      </c>
    </row>
    <row r="40" spans="5:6" x14ac:dyDescent="0.25">
      <c r="E40" s="4" t="s">
        <v>48</v>
      </c>
      <c r="F40" s="5"/>
    </row>
    <row r="41" spans="5:6" x14ac:dyDescent="0.25">
      <c r="E41" s="4" t="s">
        <v>50</v>
      </c>
      <c r="F41" s="5" t="s">
        <v>51</v>
      </c>
    </row>
    <row r="42" spans="5:6" x14ac:dyDescent="0.25">
      <c r="E42" s="4" t="s">
        <v>50</v>
      </c>
      <c r="F42" s="5" t="s">
        <v>52</v>
      </c>
    </row>
    <row r="43" spans="5:6" x14ac:dyDescent="0.25">
      <c r="E43" s="4" t="s">
        <v>50</v>
      </c>
      <c r="F43" s="5" t="s">
        <v>53</v>
      </c>
    </row>
    <row r="44" spans="5:6" x14ac:dyDescent="0.25">
      <c r="E44" s="4" t="s">
        <v>50</v>
      </c>
      <c r="F44" s="5"/>
    </row>
    <row r="45" spans="5:6" x14ac:dyDescent="0.25">
      <c r="E45" s="4" t="s">
        <v>50</v>
      </c>
      <c r="F45" s="5"/>
    </row>
  </sheetData>
  <dataValidations count="1">
    <dataValidation type="list" allowBlank="1" showInputMessage="1" showErrorMessage="1" sqref="C8" xr:uid="{B68DDEA0-A292-44DD-82D0-3833216D4D10}">
      <formula1>"Income Statement,Profit &amp; Loss Report"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B6F2-3E2F-4864-BF3F-183A3C0FFDBA}">
  <dimension ref="B2:Y1007"/>
  <sheetViews>
    <sheetView zoomScale="85" zoomScaleNormal="85" workbookViewId="0">
      <pane ySplit="5" topLeftCell="A6" activePane="bottomLeft" state="frozen"/>
      <selection activeCell="D17" sqref="D17"/>
      <selection pane="bottomLeft" activeCell="S31" sqref="S31"/>
    </sheetView>
  </sheetViews>
  <sheetFormatPr defaultColWidth="9.140625" defaultRowHeight="15.75" x14ac:dyDescent="0.25"/>
  <cols>
    <col min="1" max="1" width="3.28515625" style="2" customWidth="1"/>
    <col min="2" max="2" width="15.7109375" style="2" customWidth="1"/>
    <col min="3" max="3" width="9.7109375" style="10" hidden="1" customWidth="1"/>
    <col min="4" max="4" width="1.7109375" style="2" customWidth="1"/>
    <col min="5" max="5" width="51.85546875" style="2" customWidth="1"/>
    <col min="6" max="6" width="13.5703125" style="10" customWidth="1"/>
    <col min="7" max="7" width="9.7109375" style="10" hidden="1" customWidth="1"/>
    <col min="8" max="8" width="1.7109375" style="2" customWidth="1"/>
    <col min="9" max="9" width="34.85546875" style="2" customWidth="1"/>
    <col min="10" max="10" width="9.7109375" style="12" hidden="1" customWidth="1"/>
    <col min="11" max="11" width="4.28515625" style="10" hidden="1" customWidth="1"/>
    <col min="12" max="12" width="1.7109375" style="2" customWidth="1"/>
    <col min="13" max="13" width="3.28515625" style="2" customWidth="1"/>
    <col min="14" max="14" width="9.140625" style="2" hidden="1" customWidth="1"/>
    <col min="15" max="15" width="4.140625" style="2" hidden="1" customWidth="1"/>
    <col min="16" max="16" width="4.85546875" style="2" customWidth="1"/>
    <col min="17" max="17" width="2.28515625" style="2" customWidth="1"/>
    <col min="18" max="18" width="4.140625" style="2" customWidth="1"/>
    <col min="19" max="24" width="9.140625" style="2"/>
    <col min="25" max="25" width="11.140625" style="2" customWidth="1"/>
    <col min="26" max="16384" width="9.140625" style="2"/>
  </cols>
  <sheetData>
    <row r="2" spans="2:25" ht="28.5" x14ac:dyDescent="0.45">
      <c r="B2" s="1" t="s">
        <v>54</v>
      </c>
      <c r="D2" s="1"/>
      <c r="H2" s="1"/>
      <c r="I2" s="11" t="str">
        <f>IF(COUNTIF($G$6:$G$1006,"ERROR")&gt;0,"Amount has no Category Name","")</f>
        <v/>
      </c>
      <c r="L2" s="1"/>
    </row>
    <row r="3" spans="2:25" x14ac:dyDescent="0.25">
      <c r="B3" s="11" t="str">
        <f>IF(COUNTIF($C$6:$C$1006,"ERROR")&gt;0,"Date Out of Range","")</f>
        <v/>
      </c>
      <c r="I3" s="11" t="str">
        <f>IF(COUNTIF($J$6:$J$1006,"ERROR")&gt;0,"Category Name Mismatch","")</f>
        <v/>
      </c>
    </row>
    <row r="4" spans="2:25" x14ac:dyDescent="0.25">
      <c r="B4" s="3" t="s">
        <v>55</v>
      </c>
      <c r="C4" s="13"/>
      <c r="D4" s="3"/>
      <c r="E4" s="3" t="s">
        <v>56</v>
      </c>
      <c r="F4" s="13" t="s">
        <v>57</v>
      </c>
      <c r="G4" s="13"/>
      <c r="H4" s="3"/>
      <c r="I4" s="3" t="s">
        <v>3</v>
      </c>
      <c r="J4" s="13"/>
      <c r="K4" s="13"/>
      <c r="L4" s="13"/>
      <c r="Q4" s="48" t="s">
        <v>4</v>
      </c>
      <c r="R4" s="48"/>
      <c r="S4" s="48"/>
      <c r="T4" s="48"/>
      <c r="U4" s="48"/>
      <c r="V4" s="48"/>
      <c r="W4" s="48"/>
      <c r="X4" s="48"/>
      <c r="Y4" s="48"/>
    </row>
    <row r="5" spans="2:25" hidden="1" x14ac:dyDescent="0.25">
      <c r="B5" s="14"/>
      <c r="D5" s="14"/>
      <c r="E5" s="14"/>
      <c r="F5" s="15"/>
      <c r="G5" s="15"/>
      <c r="H5" s="14"/>
      <c r="I5" s="14"/>
      <c r="L5" s="14"/>
    </row>
    <row r="6" spans="2:25" x14ac:dyDescent="0.25">
      <c r="B6" s="16">
        <v>45199</v>
      </c>
      <c r="C6" s="17" t="str">
        <f>IF(B6="","",IF(AND($B6&gt;=Settings!$C$10,$B6&lt;=Settings!$C$11),"OK","ERROR"))</f>
        <v>OK</v>
      </c>
      <c r="D6" s="18"/>
      <c r="E6" s="5" t="s">
        <v>58</v>
      </c>
      <c r="F6" s="19">
        <v>45000</v>
      </c>
      <c r="G6" s="20" t="str">
        <f t="shared" ref="G6:G69" si="0">IF(F6="","",IF(I6&lt;&gt;"","OK","ERROR"))</f>
        <v>OK</v>
      </c>
      <c r="H6" s="18"/>
      <c r="I6" s="5" t="s">
        <v>6</v>
      </c>
      <c r="J6" s="21" t="str">
        <f>IF(I6="","",IF(ISERROR($K6)=TRUE,"ERROR","OK"))</f>
        <v>OK</v>
      </c>
      <c r="K6" s="17">
        <f>IF(I6="","",MATCH($I6,Settings!$F$5:$F$46,0))</f>
        <v>1</v>
      </c>
      <c r="L6" s="18"/>
      <c r="O6" s="22" t="str">
        <f t="array" ref="O6:O34">_xlfn._xlws.FILTER(Settings!F5:F45,(Settings!F5:F45&lt;&gt;""))</f>
        <v>Sales Revenue</v>
      </c>
      <c r="Q6" s="23"/>
      <c r="R6" s="23"/>
      <c r="S6" s="23"/>
      <c r="T6" s="23"/>
      <c r="U6" s="23"/>
      <c r="V6" s="23"/>
      <c r="W6" s="23"/>
      <c r="X6" s="23"/>
      <c r="Y6" s="23"/>
    </row>
    <row r="7" spans="2:25" x14ac:dyDescent="0.25">
      <c r="B7" s="16">
        <v>45200</v>
      </c>
      <c r="C7" s="17" t="str">
        <f>IF(B7="","",IF(AND($B7&gt;=Settings!$C$10,$B7&lt;=Settings!$C$11),"OK","ERROR"))</f>
        <v>OK</v>
      </c>
      <c r="D7" s="18"/>
      <c r="E7" s="5" t="s">
        <v>59</v>
      </c>
      <c r="F7" s="19">
        <v>9500</v>
      </c>
      <c r="G7" s="20" t="str">
        <f t="shared" si="0"/>
        <v>OK</v>
      </c>
      <c r="H7" s="18"/>
      <c r="I7" s="5" t="s">
        <v>14</v>
      </c>
      <c r="J7" s="21" t="str">
        <f t="shared" ref="J7:J70" si="1">IF(I7="","",IF(ISERROR($K7)=TRUE,"ERROR","OK"))</f>
        <v>OK</v>
      </c>
      <c r="K7" s="17">
        <f>IF(I7="","",MATCH($I7,Settings!$F$5:$F$46,0))</f>
        <v>4</v>
      </c>
      <c r="L7" s="18"/>
      <c r="O7" s="22" t="str">
        <v>Refunds to Customers</v>
      </c>
      <c r="Q7" s="23"/>
      <c r="R7" s="23" t="s">
        <v>60</v>
      </c>
      <c r="S7" s="23"/>
      <c r="T7" s="23"/>
      <c r="U7" s="23"/>
      <c r="V7" s="23"/>
      <c r="W7" s="23"/>
      <c r="X7" s="23"/>
      <c r="Y7" s="23"/>
    </row>
    <row r="8" spans="2:25" x14ac:dyDescent="0.25">
      <c r="B8" s="16">
        <v>45201</v>
      </c>
      <c r="C8" s="17" t="str">
        <f>IF(B8="","",IF(AND($B8&gt;=Settings!$C$10,$B8&lt;=Settings!$C$11),"OK","ERROR"))</f>
        <v>OK</v>
      </c>
      <c r="D8" s="18"/>
      <c r="E8" s="5" t="s">
        <v>61</v>
      </c>
      <c r="F8" s="19">
        <v>50</v>
      </c>
      <c r="G8" s="20" t="str">
        <f t="shared" si="0"/>
        <v>OK</v>
      </c>
      <c r="H8" s="18"/>
      <c r="I8" s="5" t="s">
        <v>8</v>
      </c>
      <c r="J8" s="21" t="str">
        <f t="shared" si="1"/>
        <v>OK</v>
      </c>
      <c r="K8" s="17">
        <f>IF(I8="","",MATCH($I8,Settings!$F$5:$F$46,0))</f>
        <v>2</v>
      </c>
      <c r="L8" s="18"/>
      <c r="O8" s="22" t="str">
        <v>Purchases</v>
      </c>
      <c r="Q8" s="23"/>
      <c r="R8" s="23"/>
      <c r="S8" s="24" t="s">
        <v>62</v>
      </c>
      <c r="T8" s="23"/>
      <c r="U8" s="23"/>
      <c r="V8" s="23"/>
      <c r="W8" s="23"/>
      <c r="X8" s="23"/>
      <c r="Y8" s="23"/>
    </row>
    <row r="9" spans="2:25" x14ac:dyDescent="0.25">
      <c r="B9" s="16">
        <v>45202</v>
      </c>
      <c r="C9" s="17" t="str">
        <f>IF(B9="","",IF(AND($B9&gt;=Settings!$C$10,$B9&lt;=Settings!$C$11),"OK","ERROR"))</f>
        <v>OK</v>
      </c>
      <c r="D9" s="18"/>
      <c r="E9" s="5" t="s">
        <v>63</v>
      </c>
      <c r="F9" s="19">
        <v>25</v>
      </c>
      <c r="G9" s="20" t="str">
        <f t="shared" si="0"/>
        <v>OK</v>
      </c>
      <c r="H9" s="18"/>
      <c r="I9" s="5" t="s">
        <v>47</v>
      </c>
      <c r="J9" s="21" t="str">
        <f t="shared" si="1"/>
        <v>OK</v>
      </c>
      <c r="K9" s="17">
        <f>IF(I9="","",MATCH($I9,Settings!$F$5:$F$46,0))</f>
        <v>32</v>
      </c>
      <c r="L9" s="18"/>
      <c r="O9" s="22" t="str">
        <v>Returns to Suppliers</v>
      </c>
      <c r="Q9" s="23"/>
      <c r="R9" s="23"/>
      <c r="S9" s="24" t="s">
        <v>64</v>
      </c>
      <c r="T9" s="23"/>
      <c r="U9" s="23"/>
      <c r="V9" s="23"/>
      <c r="W9" s="23"/>
      <c r="X9" s="23"/>
      <c r="Y9" s="23"/>
    </row>
    <row r="10" spans="2:25" x14ac:dyDescent="0.25">
      <c r="B10" s="16">
        <v>45203</v>
      </c>
      <c r="C10" s="17" t="str">
        <f>IF(B10="","",IF(AND($B10&gt;=Settings!$C$10,$B10&lt;=Settings!$C$11),"OK","ERROR"))</f>
        <v>OK</v>
      </c>
      <c r="D10" s="18"/>
      <c r="E10" s="5" t="s">
        <v>65</v>
      </c>
      <c r="F10" s="19">
        <v>78</v>
      </c>
      <c r="G10" s="20" t="str">
        <f t="shared" si="0"/>
        <v>OK</v>
      </c>
      <c r="H10" s="18"/>
      <c r="I10" s="5" t="s">
        <v>39</v>
      </c>
      <c r="J10" s="21" t="str">
        <f t="shared" si="1"/>
        <v>OK</v>
      </c>
      <c r="K10" s="17">
        <f>IF(I10="","",MATCH($I10,Settings!$F$5:$F$46,0))</f>
        <v>20</v>
      </c>
      <c r="L10" s="18"/>
      <c r="O10" s="22" t="str">
        <v>Advertising and Marketing</v>
      </c>
      <c r="Q10" s="23"/>
      <c r="R10" s="23"/>
      <c r="S10" s="24" t="s">
        <v>66</v>
      </c>
      <c r="T10" s="23"/>
      <c r="U10" s="23"/>
      <c r="V10" s="23"/>
      <c r="W10" s="23"/>
      <c r="X10" s="23"/>
      <c r="Y10" s="23"/>
    </row>
    <row r="11" spans="2:25" x14ac:dyDescent="0.25">
      <c r="B11" s="16">
        <v>45204</v>
      </c>
      <c r="C11" s="17" t="str">
        <f>IF(B11="","",IF(AND($B11&gt;=Settings!$C$10,$B11&lt;=Settings!$C$11),"OK","ERROR"))</f>
        <v>OK</v>
      </c>
      <c r="D11" s="18"/>
      <c r="E11" s="5" t="s">
        <v>67</v>
      </c>
      <c r="F11" s="19">
        <v>870</v>
      </c>
      <c r="G11" s="20" t="str">
        <f t="shared" si="0"/>
        <v>OK</v>
      </c>
      <c r="H11" s="18"/>
      <c r="I11" s="5" t="s">
        <v>49</v>
      </c>
      <c r="J11" s="21" t="str">
        <f t="shared" si="1"/>
        <v>OK</v>
      </c>
      <c r="K11" s="17">
        <f>IF(I11="","",MATCH($I11,Settings!$F$5:$F$46,0))</f>
        <v>35</v>
      </c>
      <c r="L11" s="18"/>
      <c r="O11" s="22" t="str">
        <v>Bank Fees</v>
      </c>
      <c r="Q11" s="23"/>
      <c r="R11" s="23"/>
      <c r="S11" s="24" t="s">
        <v>68</v>
      </c>
      <c r="T11" s="23"/>
      <c r="U11" s="23"/>
      <c r="V11" s="23"/>
      <c r="W11" s="23"/>
      <c r="X11" s="23"/>
      <c r="Y11" s="23"/>
    </row>
    <row r="12" spans="2:25" x14ac:dyDescent="0.25">
      <c r="B12" s="16">
        <v>45205</v>
      </c>
      <c r="C12" s="17" t="str">
        <f>IF(B12="","",IF(AND($B12&gt;=Settings!$C$10,$B12&lt;=Settings!$C$11),"OK","ERROR"))</f>
        <v>OK</v>
      </c>
      <c r="D12" s="18"/>
      <c r="E12" s="5" t="s">
        <v>14</v>
      </c>
      <c r="F12" s="19">
        <v>4500</v>
      </c>
      <c r="G12" s="20" t="str">
        <f t="shared" si="0"/>
        <v>OK</v>
      </c>
      <c r="H12" s="18"/>
      <c r="I12" s="5" t="s">
        <v>53</v>
      </c>
      <c r="J12" s="21" t="str">
        <f t="shared" si="1"/>
        <v>OK</v>
      </c>
      <c r="K12" s="17">
        <f>IF(I12="","",MATCH($I12,Settings!$F$5:$F$46,0))</f>
        <v>39</v>
      </c>
      <c r="L12" s="18"/>
      <c r="O12" s="22" t="str">
        <v>Business Meals</v>
      </c>
      <c r="Q12" s="23"/>
      <c r="R12" s="23"/>
      <c r="S12" s="23"/>
      <c r="T12" s="23"/>
      <c r="U12" s="23"/>
      <c r="V12" s="23"/>
      <c r="W12" s="23"/>
      <c r="X12" s="23"/>
      <c r="Y12" s="23"/>
    </row>
    <row r="13" spans="2:25" x14ac:dyDescent="0.25">
      <c r="B13" s="16">
        <v>45206</v>
      </c>
      <c r="C13" s="17" t="str">
        <f>IF(B13="","",IF(AND($B13&gt;=Settings!$C$10,$B13&lt;=Settings!$C$11),"OK","ERROR"))</f>
        <v>OK</v>
      </c>
      <c r="D13" s="18"/>
      <c r="E13" s="5" t="s">
        <v>69</v>
      </c>
      <c r="F13" s="19">
        <v>7900</v>
      </c>
      <c r="G13" s="20" t="str">
        <f t="shared" si="0"/>
        <v>OK</v>
      </c>
      <c r="H13" s="18"/>
      <c r="I13" s="5" t="s">
        <v>6</v>
      </c>
      <c r="J13" s="21" t="str">
        <f t="shared" si="1"/>
        <v>OK</v>
      </c>
      <c r="K13" s="17">
        <f>IF(I13="","",MATCH($I13,Settings!$F$5:$F$46,0))</f>
        <v>1</v>
      </c>
      <c r="L13" s="18"/>
      <c r="O13" s="22" t="str">
        <v>Client Entertainment</v>
      </c>
      <c r="Q13" s="23"/>
      <c r="R13" s="23"/>
      <c r="S13" s="25" t="s">
        <v>70</v>
      </c>
      <c r="T13" s="23"/>
      <c r="U13" s="23"/>
      <c r="V13" s="23"/>
      <c r="W13" s="23"/>
      <c r="X13" s="23"/>
      <c r="Y13" s="23"/>
    </row>
    <row r="14" spans="2:25" x14ac:dyDescent="0.25">
      <c r="B14" s="16">
        <v>45207</v>
      </c>
      <c r="C14" s="17" t="str">
        <f>IF(B14="","",IF(AND($B14&gt;=Settings!$C$10,$B14&lt;=Settings!$C$11),"OK","ERROR"))</f>
        <v>OK</v>
      </c>
      <c r="D14" s="18"/>
      <c r="E14" s="5" t="s">
        <v>71</v>
      </c>
      <c r="F14" s="19">
        <v>25</v>
      </c>
      <c r="G14" s="20" t="str">
        <f t="shared" si="0"/>
        <v>OK</v>
      </c>
      <c r="H14" s="18"/>
      <c r="I14" s="5" t="s">
        <v>14</v>
      </c>
      <c r="J14" s="21" t="str">
        <f t="shared" si="1"/>
        <v>OK</v>
      </c>
      <c r="K14" s="17">
        <f>IF(I14="","",MATCH($I14,Settings!$F$5:$F$46,0))</f>
        <v>4</v>
      </c>
      <c r="L14" s="18"/>
      <c r="O14" s="22" t="str">
        <v>Computers Expenses</v>
      </c>
      <c r="Q14" s="23"/>
      <c r="R14" s="23"/>
      <c r="S14" s="26" t="s">
        <v>72</v>
      </c>
      <c r="T14" s="23"/>
      <c r="U14" s="23"/>
      <c r="V14" s="23"/>
      <c r="W14" s="23"/>
      <c r="X14" s="23"/>
      <c r="Y14" s="23"/>
    </row>
    <row r="15" spans="2:25" x14ac:dyDescent="0.25">
      <c r="B15" s="16">
        <v>45208</v>
      </c>
      <c r="C15" s="17" t="str">
        <f>IF(B15="","",IF(AND($B15&gt;=Settings!$C$10,$B15&lt;=Settings!$C$11),"OK","ERROR"))</f>
        <v>OK</v>
      </c>
      <c r="D15" s="18"/>
      <c r="E15" s="5" t="s">
        <v>73</v>
      </c>
      <c r="F15" s="19">
        <v>30</v>
      </c>
      <c r="G15" s="20" t="str">
        <f t="shared" si="0"/>
        <v>OK</v>
      </c>
      <c r="H15" s="18"/>
      <c r="I15" s="5" t="s">
        <v>16</v>
      </c>
      <c r="J15" s="21" t="str">
        <f t="shared" si="1"/>
        <v>OK</v>
      </c>
      <c r="K15" s="17">
        <f>IF(I15="","",MATCH($I15,Settings!$F$5:$F$46,0))</f>
        <v>5</v>
      </c>
      <c r="L15" s="18"/>
      <c r="O15" s="22" t="str">
        <v>Motor Vehicle Expenses</v>
      </c>
      <c r="Q15" s="23"/>
      <c r="R15" s="23"/>
      <c r="S15" s="23"/>
      <c r="T15" s="23"/>
      <c r="U15" s="23"/>
      <c r="V15" s="23"/>
      <c r="W15" s="23"/>
      <c r="X15" s="23"/>
      <c r="Y15" s="23"/>
    </row>
    <row r="16" spans="2:25" x14ac:dyDescent="0.25">
      <c r="B16" s="16">
        <v>45209</v>
      </c>
      <c r="C16" s="17" t="str">
        <f>IF(B16="","",IF(AND($B16&gt;=Settings!$C$10,$B16&lt;=Settings!$C$11),"OK","ERROR"))</f>
        <v>OK</v>
      </c>
      <c r="D16" s="18"/>
      <c r="E16" s="5" t="s">
        <v>74</v>
      </c>
      <c r="F16" s="19">
        <v>100</v>
      </c>
      <c r="G16" s="20" t="str">
        <f t="shared" si="0"/>
        <v>OK</v>
      </c>
      <c r="H16" s="18"/>
      <c r="I16" s="5" t="s">
        <v>22</v>
      </c>
      <c r="J16" s="21" t="str">
        <f t="shared" si="1"/>
        <v>OK</v>
      </c>
      <c r="K16" s="17">
        <f>IF(I16="","",MATCH($I16,Settings!$F$5:$F$46,0))</f>
        <v>7</v>
      </c>
      <c r="L16" s="18"/>
      <c r="O16" s="22" t="str">
        <v>Contractors</v>
      </c>
    </row>
    <row r="17" spans="2:15" x14ac:dyDescent="0.25">
      <c r="B17" s="16">
        <v>45210</v>
      </c>
      <c r="C17" s="17" t="str">
        <f>IF(B17="","",IF(AND($B17&gt;=Settings!$C$10,$B17&lt;=Settings!$C$11),"OK","ERROR"))</f>
        <v>OK</v>
      </c>
      <c r="D17" s="18"/>
      <c r="E17" s="5" t="s">
        <v>75</v>
      </c>
      <c r="F17" s="19">
        <v>6</v>
      </c>
      <c r="G17" s="20" t="str">
        <f t="shared" si="0"/>
        <v>OK</v>
      </c>
      <c r="H17" s="18"/>
      <c r="I17" s="5" t="s">
        <v>24</v>
      </c>
      <c r="J17" s="21" t="str">
        <f t="shared" si="1"/>
        <v>OK</v>
      </c>
      <c r="K17" s="17">
        <f>IF(I17="","",MATCH($I17,Settings!$F$5:$F$46,0))</f>
        <v>8</v>
      </c>
      <c r="L17" s="18"/>
      <c r="O17" s="22" t="str">
        <v>Insurance Fees</v>
      </c>
    </row>
    <row r="18" spans="2:15" x14ac:dyDescent="0.25">
      <c r="B18" s="16">
        <v>45211</v>
      </c>
      <c r="C18" s="17" t="str">
        <f>IF(B18="","",IF(AND($B18&gt;=Settings!$C$10,$B18&lt;=Settings!$C$11),"OK","ERROR"))</f>
        <v>OK</v>
      </c>
      <c r="D18" s="18"/>
      <c r="E18" s="5" t="s">
        <v>76</v>
      </c>
      <c r="F18" s="19">
        <v>45</v>
      </c>
      <c r="G18" s="20" t="str">
        <f t="shared" si="0"/>
        <v>OK</v>
      </c>
      <c r="H18" s="18"/>
      <c r="I18" s="5" t="s">
        <v>26</v>
      </c>
      <c r="J18" s="21" t="str">
        <f t="shared" si="1"/>
        <v>OK</v>
      </c>
      <c r="K18" s="17">
        <f>IF(I18="","",MATCH($I18,Settings!$F$5:$F$46,0))</f>
        <v>9</v>
      </c>
      <c r="L18" s="18"/>
      <c r="O18" s="22" t="str">
        <v>Interest Paid</v>
      </c>
    </row>
    <row r="19" spans="2:15" x14ac:dyDescent="0.25">
      <c r="B19" s="16">
        <v>45212</v>
      </c>
      <c r="C19" s="17" t="str">
        <f>IF(B19="","",IF(AND($B19&gt;=Settings!$C$10,$B19&lt;=Settings!$C$11),"OK","ERROR"))</f>
        <v>OK</v>
      </c>
      <c r="D19" s="18"/>
      <c r="E19" s="5" t="s">
        <v>77</v>
      </c>
      <c r="F19" s="19">
        <v>40</v>
      </c>
      <c r="G19" s="20" t="str">
        <f t="shared" si="0"/>
        <v>OK</v>
      </c>
      <c r="H19" s="18"/>
      <c r="I19" s="5" t="s">
        <v>28</v>
      </c>
      <c r="J19" s="21" t="str">
        <f t="shared" si="1"/>
        <v>OK</v>
      </c>
      <c r="K19" s="17">
        <f>IF(I19="","",MATCH($I19,Settings!$F$5:$F$46,0))</f>
        <v>10</v>
      </c>
      <c r="L19" s="18"/>
      <c r="O19" s="22" t="str">
        <v>Professional Fees</v>
      </c>
    </row>
    <row r="20" spans="2:15" x14ac:dyDescent="0.25">
      <c r="B20" s="16">
        <v>45213</v>
      </c>
      <c r="C20" s="17" t="str">
        <f>IF(B20="","",IF(AND($B20&gt;=Settings!$C$10,$B20&lt;=Settings!$C$11),"OK","ERROR"))</f>
        <v>OK</v>
      </c>
      <c r="D20" s="18"/>
      <c r="E20" s="5" t="s">
        <v>78</v>
      </c>
      <c r="F20" s="19">
        <v>150</v>
      </c>
      <c r="G20" s="20" t="str">
        <f t="shared" si="0"/>
        <v>OK</v>
      </c>
      <c r="H20" s="18"/>
      <c r="I20" s="5" t="s">
        <v>30</v>
      </c>
      <c r="J20" s="21" t="str">
        <f t="shared" si="1"/>
        <v>OK</v>
      </c>
      <c r="K20" s="17">
        <f>IF(I20="","",MATCH($I20,Settings!$F$5:$F$46,0))</f>
        <v>11</v>
      </c>
      <c r="L20" s="18"/>
      <c r="O20" s="22" t="str">
        <v>Licenses or Fees</v>
      </c>
    </row>
    <row r="21" spans="2:15" x14ac:dyDescent="0.25">
      <c r="B21" s="16">
        <v>45214</v>
      </c>
      <c r="C21" s="17" t="str">
        <f>IF(B21="","",IF(AND($B21&gt;=Settings!$C$10,$B21&lt;=Settings!$C$11),"OK","ERROR"))</f>
        <v>OK</v>
      </c>
      <c r="D21" s="18"/>
      <c r="E21" s="5" t="s">
        <v>79</v>
      </c>
      <c r="F21" s="19">
        <v>70</v>
      </c>
      <c r="G21" s="20" t="str">
        <f t="shared" si="0"/>
        <v>OK</v>
      </c>
      <c r="H21" s="18"/>
      <c r="I21" s="5" t="s">
        <v>31</v>
      </c>
      <c r="J21" s="21" t="str">
        <f t="shared" si="1"/>
        <v>OK</v>
      </c>
      <c r="K21" s="17">
        <f>IF(I21="","",MATCH($I21,Settings!$F$5:$F$46,0))</f>
        <v>12</v>
      </c>
      <c r="L21" s="18"/>
      <c r="O21" s="22" t="str">
        <v>Miscellaneous Expenses</v>
      </c>
    </row>
    <row r="22" spans="2:15" x14ac:dyDescent="0.25">
      <c r="B22" s="16">
        <v>45215</v>
      </c>
      <c r="C22" s="17" t="str">
        <f>IF(B22="","",IF(AND($B22&gt;=Settings!$C$10,$B22&lt;=Settings!$C$11),"OK","ERROR"))</f>
        <v>OK</v>
      </c>
      <c r="D22" s="18"/>
      <c r="E22" s="5" t="s">
        <v>80</v>
      </c>
      <c r="F22" s="19">
        <v>500</v>
      </c>
      <c r="G22" s="20" t="str">
        <f t="shared" si="0"/>
        <v>OK</v>
      </c>
      <c r="H22" s="18"/>
      <c r="I22" s="5" t="s">
        <v>32</v>
      </c>
      <c r="J22" s="21" t="str">
        <f t="shared" si="1"/>
        <v>OK</v>
      </c>
      <c r="K22" s="17">
        <f>IF(I22="","",MATCH($I22,Settings!$F$5:$F$46,0))</f>
        <v>13</v>
      </c>
      <c r="L22" s="18"/>
      <c r="O22" s="22" t="str">
        <v>Telephone and Internet</v>
      </c>
    </row>
    <row r="23" spans="2:15" x14ac:dyDescent="0.25">
      <c r="B23" s="16">
        <v>45216</v>
      </c>
      <c r="C23" s="17" t="str">
        <f>IF(B23="","",IF(AND($B23&gt;=Settings!$C$10,$B23&lt;=Settings!$C$11),"OK","ERROR"))</f>
        <v>OK</v>
      </c>
      <c r="D23" s="18"/>
      <c r="E23" s="5" t="s">
        <v>81</v>
      </c>
      <c r="F23" s="19">
        <v>1000</v>
      </c>
      <c r="G23" s="20" t="str">
        <f t="shared" si="0"/>
        <v>OK</v>
      </c>
      <c r="H23" s="18"/>
      <c r="I23" s="5" t="s">
        <v>33</v>
      </c>
      <c r="J23" s="21" t="str">
        <f t="shared" si="1"/>
        <v>OK</v>
      </c>
      <c r="K23" s="17">
        <f>IF(I23="","",MATCH($I23,Settings!$F$5:$F$46,0))</f>
        <v>14</v>
      </c>
      <c r="L23" s="18"/>
      <c r="O23" s="22" t="str">
        <v>Electricity and Gas</v>
      </c>
    </row>
    <row r="24" spans="2:15" x14ac:dyDescent="0.25">
      <c r="B24" s="16">
        <v>45217</v>
      </c>
      <c r="C24" s="17" t="str">
        <f>IF(B24="","",IF(AND($B24&gt;=Settings!$C$10,$B24&lt;=Settings!$C$11),"OK","ERROR"))</f>
        <v>OK</v>
      </c>
      <c r="D24" s="18"/>
      <c r="E24" s="5" t="s">
        <v>82</v>
      </c>
      <c r="F24" s="19">
        <v>13</v>
      </c>
      <c r="G24" s="20" t="str">
        <f t="shared" si="0"/>
        <v>OK</v>
      </c>
      <c r="H24" s="18"/>
      <c r="I24" s="5" t="s">
        <v>34</v>
      </c>
      <c r="J24" s="21" t="str">
        <f t="shared" si="1"/>
        <v>OK</v>
      </c>
      <c r="K24" s="17">
        <f>IF(I24="","",MATCH($I24,Settings!$F$5:$F$46,0))</f>
        <v>15</v>
      </c>
      <c r="L24" s="18"/>
      <c r="O24" s="22" t="str">
        <v>Postage and Shipping</v>
      </c>
    </row>
    <row r="25" spans="2:15" x14ac:dyDescent="0.25">
      <c r="B25" s="16">
        <v>45218</v>
      </c>
      <c r="C25" s="17" t="str">
        <f>IF(B25="","",IF(AND($B25&gt;=Settings!$C$10,$B25&lt;=Settings!$C$11),"OK","ERROR"))</f>
        <v>OK</v>
      </c>
      <c r="D25" s="18"/>
      <c r="E25" s="5" t="s">
        <v>83</v>
      </c>
      <c r="F25" s="19">
        <v>1400</v>
      </c>
      <c r="G25" s="20" t="str">
        <f t="shared" si="0"/>
        <v>OK</v>
      </c>
      <c r="H25" s="18"/>
      <c r="I25" s="5" t="s">
        <v>35</v>
      </c>
      <c r="J25" s="21" t="str">
        <f t="shared" si="1"/>
        <v>OK</v>
      </c>
      <c r="K25" s="17">
        <f>IF(I25="","",MATCH($I25,Settings!$F$5:$F$46,0))</f>
        <v>16</v>
      </c>
      <c r="L25" s="18"/>
      <c r="O25" s="22" t="str">
        <v>Rent or Lease</v>
      </c>
    </row>
    <row r="26" spans="2:15" x14ac:dyDescent="0.25">
      <c r="B26" s="16">
        <v>45219</v>
      </c>
      <c r="C26" s="17" t="str">
        <f>IF(B26="","",IF(AND($B26&gt;=Settings!$C$10,$B26&lt;=Settings!$C$11),"OK","ERROR"))</f>
        <v>OK</v>
      </c>
      <c r="D26" s="18"/>
      <c r="E26" s="5" t="s">
        <v>84</v>
      </c>
      <c r="F26" s="19">
        <v>80</v>
      </c>
      <c r="G26" s="20" t="str">
        <f t="shared" si="0"/>
        <v>OK</v>
      </c>
      <c r="H26" s="18"/>
      <c r="I26" s="5" t="s">
        <v>36</v>
      </c>
      <c r="J26" s="21" t="str">
        <f t="shared" si="1"/>
        <v>OK</v>
      </c>
      <c r="K26" s="17">
        <f>IF(I26="","",MATCH($I26,Settings!$F$5:$F$46,0))</f>
        <v>17</v>
      </c>
      <c r="L26" s="18"/>
      <c r="O26" s="22" t="str">
        <v>Software Expenses</v>
      </c>
    </row>
    <row r="27" spans="2:15" x14ac:dyDescent="0.25">
      <c r="B27" s="16">
        <v>45220</v>
      </c>
      <c r="C27" s="17" t="str">
        <f>IF(B27="","",IF(AND($B27&gt;=Settings!$C$10,$B27&lt;=Settings!$C$11),"OK","ERROR"))</f>
        <v>OK</v>
      </c>
      <c r="D27" s="18"/>
      <c r="E27" s="5" t="s">
        <v>85</v>
      </c>
      <c r="F27" s="19">
        <v>150</v>
      </c>
      <c r="G27" s="20" t="str">
        <f t="shared" si="0"/>
        <v>OK</v>
      </c>
      <c r="H27" s="18"/>
      <c r="I27" s="5" t="s">
        <v>37</v>
      </c>
      <c r="J27" s="21" t="str">
        <f t="shared" si="1"/>
        <v>OK</v>
      </c>
      <c r="K27" s="17">
        <f>IF(I27="","",MATCH($I27,Settings!$F$5:$F$46,0))</f>
        <v>18</v>
      </c>
      <c r="L27" s="18"/>
      <c r="O27" s="22" t="str">
        <v>Supplies</v>
      </c>
    </row>
    <row r="28" spans="2:15" x14ac:dyDescent="0.25">
      <c r="B28" s="16">
        <v>45221</v>
      </c>
      <c r="C28" s="17" t="str">
        <f>IF(B28="","",IF(AND($B28&gt;=Settings!$C$10,$B28&lt;=Settings!$C$11),"OK","ERROR"))</f>
        <v>OK</v>
      </c>
      <c r="D28" s="18"/>
      <c r="E28" s="5" t="s">
        <v>86</v>
      </c>
      <c r="F28" s="19">
        <v>200</v>
      </c>
      <c r="G28" s="20" t="str">
        <f t="shared" si="0"/>
        <v>OK</v>
      </c>
      <c r="H28" s="18"/>
      <c r="I28" s="5" t="s">
        <v>38</v>
      </c>
      <c r="J28" s="21" t="str">
        <f t="shared" si="1"/>
        <v>OK</v>
      </c>
      <c r="K28" s="17">
        <f>IF(I28="","",MATCH($I28,Settings!$F$5:$F$46,0))</f>
        <v>19</v>
      </c>
      <c r="L28" s="18"/>
      <c r="O28" s="22" t="str">
        <v>Travel and Transportation</v>
      </c>
    </row>
    <row r="29" spans="2:15" x14ac:dyDescent="0.25">
      <c r="B29" s="16">
        <v>45222</v>
      </c>
      <c r="C29" s="17" t="str">
        <f>IF(B29="","",IF(AND($B29&gt;=Settings!$C$10,$B29&lt;=Settings!$C$11),"OK","ERROR"))</f>
        <v>OK</v>
      </c>
      <c r="D29" s="18"/>
      <c r="E29" s="5" t="s">
        <v>87</v>
      </c>
      <c r="F29" s="19">
        <v>250</v>
      </c>
      <c r="G29" s="20" t="str">
        <f t="shared" si="0"/>
        <v>OK</v>
      </c>
      <c r="H29" s="18"/>
      <c r="I29" s="5" t="s">
        <v>39</v>
      </c>
      <c r="J29" s="21" t="str">
        <f t="shared" si="1"/>
        <v>OK</v>
      </c>
      <c r="K29" s="17">
        <f>IF(I29="","",MATCH($I29,Settings!$F$5:$F$46,0))</f>
        <v>20</v>
      </c>
      <c r="L29" s="18"/>
      <c r="O29" s="22" t="str">
        <v>Mehtab Personal Expenses</v>
      </c>
    </row>
    <row r="30" spans="2:15" x14ac:dyDescent="0.25">
      <c r="B30" s="16">
        <v>45223</v>
      </c>
      <c r="C30" s="17" t="str">
        <f>IF(B30="","",IF(AND($B30&gt;=Settings!$C$10,$B30&lt;=Settings!$C$11),"OK","ERROR"))</f>
        <v>OK</v>
      </c>
      <c r="D30" s="18"/>
      <c r="E30" s="5" t="s">
        <v>88</v>
      </c>
      <c r="F30" s="19">
        <v>19</v>
      </c>
      <c r="G30" s="20" t="str">
        <f t="shared" si="0"/>
        <v>OK</v>
      </c>
      <c r="H30" s="18"/>
      <c r="I30" s="5" t="s">
        <v>40</v>
      </c>
      <c r="J30" s="21" t="str">
        <f t="shared" si="1"/>
        <v>OK</v>
      </c>
      <c r="K30" s="17">
        <f>IF(I30="","",MATCH($I30,Settings!$F$5:$F$46,0))</f>
        <v>21</v>
      </c>
      <c r="L30" s="18"/>
      <c r="O30" s="22" t="str">
        <v>Interest Income</v>
      </c>
    </row>
    <row r="31" spans="2:15" x14ac:dyDescent="0.25">
      <c r="B31" s="16">
        <v>45224</v>
      </c>
      <c r="C31" s="17" t="str">
        <f>IF(B31="","",IF(AND($B31&gt;=Settings!$C$10,$B31&lt;=Settings!$C$11),"OK","ERROR"))</f>
        <v>OK</v>
      </c>
      <c r="D31" s="18"/>
      <c r="E31" s="5" t="s">
        <v>89</v>
      </c>
      <c r="F31" s="19">
        <v>5000</v>
      </c>
      <c r="G31" s="20" t="str">
        <f t="shared" si="0"/>
        <v>OK</v>
      </c>
      <c r="H31" s="18"/>
      <c r="I31" s="5" t="s">
        <v>41</v>
      </c>
      <c r="J31" s="21" t="str">
        <f t="shared" si="1"/>
        <v>OK</v>
      </c>
      <c r="K31" s="17">
        <f>IF(I31="","",MATCH($I31,Settings!$F$5:$F$46,0))</f>
        <v>22</v>
      </c>
      <c r="L31" s="18"/>
      <c r="O31" s="22" t="str">
        <v>Other Income</v>
      </c>
    </row>
    <row r="32" spans="2:15" x14ac:dyDescent="0.25">
      <c r="B32" s="16">
        <v>45225</v>
      </c>
      <c r="C32" s="17" t="str">
        <f>IF(B32="","",IF(AND($B32&gt;=Settings!$C$10,$B32&lt;=Settings!$C$11),"OK","ERROR"))</f>
        <v>OK</v>
      </c>
      <c r="D32" s="18"/>
      <c r="E32" s="5" t="s">
        <v>90</v>
      </c>
      <c r="F32" s="19">
        <v>300</v>
      </c>
      <c r="G32" s="20" t="str">
        <f t="shared" si="0"/>
        <v>OK</v>
      </c>
      <c r="H32" s="18"/>
      <c r="I32" s="5" t="s">
        <v>42</v>
      </c>
      <c r="J32" s="21" t="str">
        <f t="shared" si="1"/>
        <v>OK</v>
      </c>
      <c r="K32" s="17">
        <f>IF(I32="","",MATCH($I32,Settings!$F$5:$F$46,0))</f>
        <v>23</v>
      </c>
      <c r="L32" s="18"/>
      <c r="O32" s="22" t="str">
        <v>Tax Paid</v>
      </c>
    </row>
    <row r="33" spans="2:15" x14ac:dyDescent="0.25">
      <c r="B33" s="16">
        <v>45226</v>
      </c>
      <c r="C33" s="17" t="str">
        <f>IF(B33="","",IF(AND($B33&gt;=Settings!$C$10,$B33&lt;=Settings!$C$11),"OK","ERROR"))</f>
        <v>OK</v>
      </c>
      <c r="D33" s="18"/>
      <c r="E33" s="5" t="s">
        <v>91</v>
      </c>
      <c r="F33" s="19">
        <v>50</v>
      </c>
      <c r="G33" s="20" t="str">
        <f t="shared" si="0"/>
        <v>OK</v>
      </c>
      <c r="H33" s="18"/>
      <c r="I33" s="5" t="s">
        <v>43</v>
      </c>
      <c r="J33" s="21" t="str">
        <f t="shared" si="1"/>
        <v>OK</v>
      </c>
      <c r="K33" s="17">
        <f>IF(I33="","",MATCH($I33,Settings!$F$5:$F$46,0))</f>
        <v>24</v>
      </c>
      <c r="L33" s="18"/>
      <c r="O33" s="22" t="str">
        <v>Motor Vehicles</v>
      </c>
    </row>
    <row r="34" spans="2:15" x14ac:dyDescent="0.25">
      <c r="B34" s="16">
        <v>45227</v>
      </c>
      <c r="C34" s="17" t="str">
        <f>IF(B34="","",IF(AND($B34&gt;=Settings!$C$10,$B34&lt;=Settings!$C$11),"OK","ERROR"))</f>
        <v>OK</v>
      </c>
      <c r="D34" s="18"/>
      <c r="E34" s="5" t="s">
        <v>92</v>
      </c>
      <c r="F34" s="19">
        <v>23</v>
      </c>
      <c r="G34" s="20" t="str">
        <f t="shared" si="0"/>
        <v>OK</v>
      </c>
      <c r="H34" s="18"/>
      <c r="I34" s="5" t="s">
        <v>44</v>
      </c>
      <c r="J34" s="21" t="str">
        <f t="shared" si="1"/>
        <v>OK</v>
      </c>
      <c r="K34" s="17">
        <f>IF(I34="","",MATCH($I34,Settings!$F$5:$F$46,0))</f>
        <v>25</v>
      </c>
      <c r="L34" s="18"/>
      <c r="O34" s="22" t="str">
        <v>Computer Hardware</v>
      </c>
    </row>
    <row r="35" spans="2:15" x14ac:dyDescent="0.25">
      <c r="B35" s="16">
        <v>45228</v>
      </c>
      <c r="C35" s="17" t="str">
        <f>IF(B35="","",IF(AND($B35&gt;=Settings!$C$10,$B35&lt;=Settings!$C$11),"OK","ERROR"))</f>
        <v>OK</v>
      </c>
      <c r="D35" s="18"/>
      <c r="E35" s="5" t="s">
        <v>67</v>
      </c>
      <c r="F35" s="19">
        <v>1500</v>
      </c>
      <c r="G35" s="20" t="str">
        <f t="shared" si="0"/>
        <v>OK</v>
      </c>
      <c r="H35" s="18"/>
      <c r="I35" s="5" t="s">
        <v>49</v>
      </c>
      <c r="J35" s="21" t="str">
        <f t="shared" si="1"/>
        <v>OK</v>
      </c>
      <c r="K35" s="17">
        <f>IF(I35="","",MATCH($I35,Settings!$F$5:$F$46,0))</f>
        <v>35</v>
      </c>
      <c r="L35" s="18"/>
      <c r="O35" s="22"/>
    </row>
    <row r="36" spans="2:15" x14ac:dyDescent="0.25">
      <c r="B36" s="16">
        <v>45229</v>
      </c>
      <c r="C36" s="17" t="str">
        <f>IF(B36="","",IF(AND($B36&gt;=Settings!$C$10,$B36&lt;=Settings!$C$11),"OK","ERROR"))</f>
        <v>OK</v>
      </c>
      <c r="D36" s="18"/>
      <c r="E36" s="5" t="s">
        <v>93</v>
      </c>
      <c r="F36" s="19">
        <v>1200</v>
      </c>
      <c r="G36" s="20" t="str">
        <f t="shared" si="0"/>
        <v>OK</v>
      </c>
      <c r="H36" s="18"/>
      <c r="I36" s="5" t="s">
        <v>37</v>
      </c>
      <c r="J36" s="21" t="str">
        <f t="shared" si="1"/>
        <v>OK</v>
      </c>
      <c r="K36" s="17">
        <f>IF(I36="","",MATCH($I36,Settings!$F$5:$F$46,0))</f>
        <v>18</v>
      </c>
      <c r="L36" s="18"/>
      <c r="O36" s="22"/>
    </row>
    <row r="37" spans="2:15" x14ac:dyDescent="0.25">
      <c r="B37" s="16">
        <v>45229</v>
      </c>
      <c r="C37" s="17" t="str">
        <f>IF(B37="","",IF(AND($B37&gt;=Settings!$C$10,$B37&lt;=Settings!$C$11),"OK","ERROR"))</f>
        <v>OK</v>
      </c>
      <c r="D37" s="18"/>
      <c r="E37" s="5" t="s">
        <v>94</v>
      </c>
      <c r="F37" s="19">
        <v>75000</v>
      </c>
      <c r="G37" s="20" t="str">
        <f t="shared" si="0"/>
        <v>OK</v>
      </c>
      <c r="H37" s="18"/>
      <c r="I37" s="5" t="s">
        <v>45</v>
      </c>
      <c r="J37" s="21" t="str">
        <f t="shared" si="1"/>
        <v>OK</v>
      </c>
      <c r="K37" s="17">
        <f>IF(I37="","",MATCH($I37,Settings!$F$5:$F$46,0))</f>
        <v>26</v>
      </c>
      <c r="L37" s="18"/>
      <c r="O37" s="22"/>
    </row>
    <row r="38" spans="2:15" x14ac:dyDescent="0.25">
      <c r="B38" s="16">
        <v>45229</v>
      </c>
      <c r="C38" s="17" t="str">
        <f>IF(B38="","",IF(AND($B38&gt;=Settings!$C$10,$B38&lt;=Settings!$C$11),"OK","ERROR"))</f>
        <v>OK</v>
      </c>
      <c r="D38" s="18"/>
      <c r="E38" s="5" t="s">
        <v>95</v>
      </c>
      <c r="F38" s="19">
        <v>175000</v>
      </c>
      <c r="G38" s="20" t="str">
        <f t="shared" si="0"/>
        <v>OK</v>
      </c>
      <c r="H38" s="18"/>
      <c r="I38" s="5" t="s">
        <v>6</v>
      </c>
      <c r="J38" s="21" t="str">
        <f t="shared" si="1"/>
        <v>OK</v>
      </c>
      <c r="K38" s="17">
        <f>IF(I38="","",MATCH($I38,Settings!$F$5:$F$46,0))</f>
        <v>1</v>
      </c>
      <c r="L38" s="18"/>
      <c r="O38" s="22"/>
    </row>
    <row r="39" spans="2:15" x14ac:dyDescent="0.25">
      <c r="B39" s="16">
        <v>45229</v>
      </c>
      <c r="C39" s="17" t="str">
        <f>IF(B39="","",IF(AND($B39&gt;=Settings!$C$10,$B39&lt;=Settings!$C$11),"OK","ERROR"))</f>
        <v>OK</v>
      </c>
      <c r="D39" s="18"/>
      <c r="E39" s="5" t="s">
        <v>95</v>
      </c>
      <c r="F39" s="19"/>
      <c r="G39" s="20" t="str">
        <f t="shared" si="0"/>
        <v/>
      </c>
      <c r="H39" s="18"/>
      <c r="I39" s="5" t="s">
        <v>6</v>
      </c>
      <c r="J39" s="21" t="str">
        <f t="shared" si="1"/>
        <v>OK</v>
      </c>
      <c r="K39" s="17">
        <f>IF(I39="","",MATCH($I39,Settings!$F$5:$F$46,0))</f>
        <v>1</v>
      </c>
      <c r="L39" s="18"/>
      <c r="O39" s="22"/>
    </row>
    <row r="40" spans="2:15" x14ac:dyDescent="0.25">
      <c r="B40" s="16"/>
      <c r="C40" s="17" t="str">
        <f>IF(B40="","",IF(AND($B40&gt;=Settings!$C$10,$B40&lt;=Settings!$C$11),"OK","ERROR"))</f>
        <v/>
      </c>
      <c r="D40" s="18"/>
      <c r="E40" s="5" t="s">
        <v>95</v>
      </c>
      <c r="F40" s="19"/>
      <c r="G40" s="20" t="str">
        <f t="shared" si="0"/>
        <v/>
      </c>
      <c r="H40" s="18"/>
      <c r="I40" s="5"/>
      <c r="J40" s="21" t="str">
        <f t="shared" si="1"/>
        <v/>
      </c>
      <c r="K40" s="17" t="str">
        <f>IF(I40="","",MATCH($I40,Settings!$F$5:$F$46,0))</f>
        <v/>
      </c>
      <c r="L40" s="18"/>
      <c r="O40" s="22"/>
    </row>
    <row r="41" spans="2:15" x14ac:dyDescent="0.25">
      <c r="B41" s="16"/>
      <c r="C41" s="17" t="str">
        <f>IF(B41="","",IF(AND($B41&gt;=Settings!$C$10,$B41&lt;=Settings!$C$11),"OK","ERROR"))</f>
        <v/>
      </c>
      <c r="D41" s="18"/>
      <c r="E41" s="5"/>
      <c r="F41" s="19"/>
      <c r="G41" s="20" t="str">
        <f t="shared" si="0"/>
        <v/>
      </c>
      <c r="H41" s="18"/>
      <c r="I41" s="5"/>
      <c r="J41" s="21" t="str">
        <f t="shared" si="1"/>
        <v/>
      </c>
      <c r="K41" s="17" t="str">
        <f>IF(I41="","",MATCH($I41,Settings!$F$5:$F$46,0))</f>
        <v/>
      </c>
      <c r="L41" s="18"/>
      <c r="O41" s="22"/>
    </row>
    <row r="42" spans="2:15" x14ac:dyDescent="0.25">
      <c r="B42" s="16"/>
      <c r="C42" s="17" t="str">
        <f>IF(B42="","",IF(AND($B42&gt;=Settings!$C$10,$B42&lt;=Settings!$C$11),"OK","ERROR"))</f>
        <v/>
      </c>
      <c r="D42" s="18"/>
      <c r="E42" s="5"/>
      <c r="F42" s="19"/>
      <c r="G42" s="20" t="str">
        <f t="shared" si="0"/>
        <v/>
      </c>
      <c r="H42" s="18"/>
      <c r="I42" s="5"/>
      <c r="J42" s="21" t="str">
        <f t="shared" si="1"/>
        <v/>
      </c>
      <c r="K42" s="17" t="str">
        <f>IF(I42="","",MATCH($I42,Settings!$F$5:$F$46,0))</f>
        <v/>
      </c>
      <c r="L42" s="18"/>
      <c r="O42" s="22"/>
    </row>
    <row r="43" spans="2:15" x14ac:dyDescent="0.25">
      <c r="B43" s="16"/>
      <c r="C43" s="17" t="str">
        <f>IF(B43="","",IF(AND($B43&gt;=Settings!$C$10,$B43&lt;=Settings!$C$11),"OK","ERROR"))</f>
        <v/>
      </c>
      <c r="D43" s="18"/>
      <c r="E43" s="5"/>
      <c r="F43" s="19"/>
      <c r="G43" s="20" t="str">
        <f t="shared" si="0"/>
        <v/>
      </c>
      <c r="H43" s="18"/>
      <c r="I43" s="5"/>
      <c r="J43" s="21" t="str">
        <f t="shared" si="1"/>
        <v/>
      </c>
      <c r="K43" s="17" t="str">
        <f>IF(I43="","",MATCH($I43,Settings!$F$5:$F$46,0))</f>
        <v/>
      </c>
      <c r="L43" s="18"/>
      <c r="O43" s="22"/>
    </row>
    <row r="44" spans="2:15" x14ac:dyDescent="0.25">
      <c r="B44" s="16"/>
      <c r="C44" s="17" t="str">
        <f>IF(B44="","",IF(AND($B44&gt;=Settings!$C$10,$B44&lt;=Settings!$C$11),"OK","ERROR"))</f>
        <v/>
      </c>
      <c r="D44" s="18"/>
      <c r="E44" s="5"/>
      <c r="F44" s="19"/>
      <c r="G44" s="20" t="str">
        <f t="shared" si="0"/>
        <v/>
      </c>
      <c r="H44" s="18"/>
      <c r="I44" s="5"/>
      <c r="J44" s="21" t="str">
        <f t="shared" si="1"/>
        <v/>
      </c>
      <c r="K44" s="17" t="str">
        <f>IF(I44="","",MATCH($I44,Settings!$F$5:$F$46,0))</f>
        <v/>
      </c>
      <c r="L44" s="18"/>
      <c r="O44" s="22"/>
    </row>
    <row r="45" spans="2:15" x14ac:dyDescent="0.25">
      <c r="B45" s="16"/>
      <c r="C45" s="17" t="str">
        <f>IF(B45="","",IF(AND($B45&gt;=Settings!$C$10,$B45&lt;=Settings!$C$11),"OK","ERROR"))</f>
        <v/>
      </c>
      <c r="D45" s="18"/>
      <c r="E45" s="5"/>
      <c r="F45" s="19"/>
      <c r="G45" s="20" t="str">
        <f t="shared" si="0"/>
        <v/>
      </c>
      <c r="H45" s="18"/>
      <c r="I45" s="5"/>
      <c r="J45" s="21" t="str">
        <f t="shared" si="1"/>
        <v/>
      </c>
      <c r="K45" s="17" t="str">
        <f>IF(I45="","",MATCH($I45,Settings!$F$5:$F$46,0))</f>
        <v/>
      </c>
      <c r="L45" s="18"/>
      <c r="O45" s="22"/>
    </row>
    <row r="46" spans="2:15" x14ac:dyDescent="0.25">
      <c r="B46" s="16"/>
      <c r="C46" s="17" t="str">
        <f>IF(B46="","",IF(AND($B46&gt;=Settings!$C$10,$B46&lt;=Settings!$C$11),"OK","ERROR"))</f>
        <v/>
      </c>
      <c r="D46" s="18"/>
      <c r="E46" s="5"/>
      <c r="F46" s="19"/>
      <c r="G46" s="20" t="str">
        <f t="shared" si="0"/>
        <v/>
      </c>
      <c r="H46" s="18"/>
      <c r="I46" s="5"/>
      <c r="J46" s="21" t="str">
        <f t="shared" si="1"/>
        <v/>
      </c>
      <c r="K46" s="17" t="str">
        <f>IF(I46="","",MATCH($I46,Settings!$F$5:$F$46,0))</f>
        <v/>
      </c>
      <c r="L46" s="18"/>
      <c r="O46" s="22"/>
    </row>
    <row r="47" spans="2:15" x14ac:dyDescent="0.25">
      <c r="B47" s="16"/>
      <c r="C47" s="17" t="str">
        <f>IF(B47="","",IF(AND($B47&gt;=Settings!$C$10,$B47&lt;=Settings!$C$11),"OK","ERROR"))</f>
        <v/>
      </c>
      <c r="D47" s="18"/>
      <c r="E47" s="5"/>
      <c r="F47" s="19"/>
      <c r="G47" s="20" t="str">
        <f t="shared" si="0"/>
        <v/>
      </c>
      <c r="H47" s="18"/>
      <c r="I47" s="5"/>
      <c r="J47" s="21" t="str">
        <f t="shared" si="1"/>
        <v/>
      </c>
      <c r="K47" s="17" t="str">
        <f>IF(I47="","",MATCH($I47,Settings!$F$5:$F$46,0))</f>
        <v/>
      </c>
      <c r="L47" s="18"/>
    </row>
    <row r="48" spans="2:15" x14ac:dyDescent="0.25">
      <c r="B48" s="16"/>
      <c r="C48" s="17" t="str">
        <f>IF(B48="","",IF(AND($B48&gt;=Settings!$C$10,$B48&lt;=Settings!$C$11),"OK","ERROR"))</f>
        <v/>
      </c>
      <c r="D48" s="18"/>
      <c r="E48" s="5"/>
      <c r="F48" s="19"/>
      <c r="G48" s="20" t="str">
        <f t="shared" si="0"/>
        <v/>
      </c>
      <c r="H48" s="18"/>
      <c r="I48" s="5"/>
      <c r="J48" s="21" t="str">
        <f t="shared" si="1"/>
        <v/>
      </c>
      <c r="K48" s="17" t="str">
        <f>IF(I48="","",MATCH($I48,Settings!$F$5:$F$46,0))</f>
        <v/>
      </c>
      <c r="L48" s="18"/>
    </row>
    <row r="49" spans="2:12" x14ac:dyDescent="0.25">
      <c r="B49" s="16"/>
      <c r="C49" s="17" t="str">
        <f>IF(B49="","",IF(AND($B49&gt;=Settings!$C$10,$B49&lt;=Settings!$C$11),"OK","ERROR"))</f>
        <v/>
      </c>
      <c r="D49" s="18"/>
      <c r="E49" s="5"/>
      <c r="F49" s="19"/>
      <c r="G49" s="20" t="str">
        <f t="shared" si="0"/>
        <v/>
      </c>
      <c r="H49" s="18"/>
      <c r="I49" s="5"/>
      <c r="J49" s="21" t="str">
        <f t="shared" si="1"/>
        <v/>
      </c>
      <c r="K49" s="17" t="str">
        <f>IF(I49="","",MATCH($I49,Settings!$F$5:$F$46,0))</f>
        <v/>
      </c>
      <c r="L49" s="18"/>
    </row>
    <row r="50" spans="2:12" x14ac:dyDescent="0.25">
      <c r="B50" s="16"/>
      <c r="C50" s="17" t="str">
        <f>IF(B50="","",IF(AND($B50&gt;=Settings!$C$10,$B50&lt;=Settings!$C$11),"OK","ERROR"))</f>
        <v/>
      </c>
      <c r="D50" s="18"/>
      <c r="E50" s="5"/>
      <c r="F50" s="19"/>
      <c r="G50" s="20" t="str">
        <f t="shared" si="0"/>
        <v/>
      </c>
      <c r="H50" s="18"/>
      <c r="I50" s="5"/>
      <c r="J50" s="21" t="str">
        <f t="shared" si="1"/>
        <v/>
      </c>
      <c r="K50" s="17" t="str">
        <f>IF(I50="","",MATCH($I50,Settings!$F$5:$F$46,0))</f>
        <v/>
      </c>
      <c r="L50" s="18"/>
    </row>
    <row r="51" spans="2:12" x14ac:dyDescent="0.25">
      <c r="B51" s="16"/>
      <c r="C51" s="17" t="str">
        <f>IF(B51="","",IF(AND($B51&gt;=Settings!$C$10,$B51&lt;=Settings!$C$11),"OK","ERROR"))</f>
        <v/>
      </c>
      <c r="D51" s="18"/>
      <c r="E51" s="5"/>
      <c r="F51" s="19"/>
      <c r="G51" s="20" t="str">
        <f t="shared" si="0"/>
        <v/>
      </c>
      <c r="H51" s="18"/>
      <c r="I51" s="5"/>
      <c r="J51" s="21" t="str">
        <f t="shared" si="1"/>
        <v/>
      </c>
      <c r="K51" s="17" t="str">
        <f>IF(I51="","",MATCH($I51,Settings!$F$5:$F$46,0))</f>
        <v/>
      </c>
      <c r="L51" s="18"/>
    </row>
    <row r="52" spans="2:12" x14ac:dyDescent="0.25">
      <c r="B52" s="16"/>
      <c r="C52" s="17" t="str">
        <f>IF(B52="","",IF(AND($B52&gt;=Settings!$C$10,$B52&lt;=Settings!$C$11),"OK","ERROR"))</f>
        <v/>
      </c>
      <c r="D52" s="18"/>
      <c r="E52" s="5"/>
      <c r="F52" s="19"/>
      <c r="G52" s="20" t="str">
        <f t="shared" si="0"/>
        <v/>
      </c>
      <c r="H52" s="18"/>
      <c r="I52" s="5"/>
      <c r="J52" s="21" t="str">
        <f t="shared" si="1"/>
        <v/>
      </c>
      <c r="K52" s="17" t="str">
        <f>IF(I52="","",MATCH($I52,Settings!$F$5:$F$46,0))</f>
        <v/>
      </c>
      <c r="L52" s="18"/>
    </row>
    <row r="53" spans="2:12" x14ac:dyDescent="0.25">
      <c r="B53" s="16"/>
      <c r="C53" s="17" t="str">
        <f>IF(B53="","",IF(AND($B53&gt;=Settings!$C$10,$B53&lt;=Settings!$C$11),"OK","ERROR"))</f>
        <v/>
      </c>
      <c r="D53" s="18"/>
      <c r="E53" s="5"/>
      <c r="F53" s="19"/>
      <c r="G53" s="20" t="str">
        <f t="shared" si="0"/>
        <v/>
      </c>
      <c r="H53" s="18"/>
      <c r="I53" s="5"/>
      <c r="J53" s="21" t="str">
        <f t="shared" si="1"/>
        <v/>
      </c>
      <c r="K53" s="17" t="str">
        <f>IF(I53="","",MATCH($I53,Settings!$F$5:$F$46,0))</f>
        <v/>
      </c>
      <c r="L53" s="18"/>
    </row>
    <row r="54" spans="2:12" x14ac:dyDescent="0.25">
      <c r="B54" s="16"/>
      <c r="C54" s="17" t="str">
        <f>IF(B54="","",IF(AND($B54&gt;=Settings!$C$10,$B54&lt;=Settings!$C$11),"OK","ERROR"))</f>
        <v/>
      </c>
      <c r="D54" s="18"/>
      <c r="E54" s="5"/>
      <c r="F54" s="19"/>
      <c r="G54" s="20" t="str">
        <f t="shared" si="0"/>
        <v/>
      </c>
      <c r="H54" s="18"/>
      <c r="I54" s="5"/>
      <c r="J54" s="21" t="str">
        <f t="shared" si="1"/>
        <v/>
      </c>
      <c r="K54" s="17" t="str">
        <f>IF(I54="","",MATCH($I54,Settings!$F$5:$F$46,0))</f>
        <v/>
      </c>
      <c r="L54" s="18"/>
    </row>
    <row r="55" spans="2:12" x14ac:dyDescent="0.25">
      <c r="B55" s="16"/>
      <c r="C55" s="17" t="str">
        <f>IF(B55="","",IF(AND($B55&gt;=Settings!$C$10,$B55&lt;=Settings!$C$11),"OK","ERROR"))</f>
        <v/>
      </c>
      <c r="D55" s="18"/>
      <c r="E55" s="5"/>
      <c r="F55" s="19"/>
      <c r="G55" s="20" t="str">
        <f t="shared" si="0"/>
        <v/>
      </c>
      <c r="H55" s="18"/>
      <c r="I55" s="5"/>
      <c r="J55" s="21" t="str">
        <f t="shared" si="1"/>
        <v/>
      </c>
      <c r="K55" s="17" t="str">
        <f>IF(I55="","",MATCH($I55,Settings!$F$5:$F$46,0))</f>
        <v/>
      </c>
      <c r="L55" s="18"/>
    </row>
    <row r="56" spans="2:12" x14ac:dyDescent="0.25">
      <c r="B56" s="16"/>
      <c r="C56" s="17" t="str">
        <f>IF(B56="","",IF(AND($B56&gt;=Settings!$C$10,$B56&lt;=Settings!$C$11),"OK","ERROR"))</f>
        <v/>
      </c>
      <c r="D56" s="18"/>
      <c r="E56" s="5"/>
      <c r="F56" s="19"/>
      <c r="G56" s="20" t="str">
        <f t="shared" si="0"/>
        <v/>
      </c>
      <c r="H56" s="18"/>
      <c r="I56" s="5"/>
      <c r="J56" s="21" t="str">
        <f t="shared" si="1"/>
        <v/>
      </c>
      <c r="K56" s="17" t="str">
        <f>IF(I56="","",MATCH($I56,Settings!$F$5:$F$46,0))</f>
        <v/>
      </c>
      <c r="L56" s="18"/>
    </row>
    <row r="57" spans="2:12" x14ac:dyDescent="0.25">
      <c r="B57" s="16"/>
      <c r="C57" s="17" t="str">
        <f>IF(B57="","",IF(AND($B57&gt;=Settings!$C$10,$B57&lt;=Settings!$C$11),"OK","ERROR"))</f>
        <v/>
      </c>
      <c r="D57" s="18"/>
      <c r="E57" s="5"/>
      <c r="F57" s="19"/>
      <c r="G57" s="20" t="str">
        <f t="shared" si="0"/>
        <v/>
      </c>
      <c r="H57" s="18"/>
      <c r="I57" s="5"/>
      <c r="J57" s="21" t="str">
        <f t="shared" si="1"/>
        <v/>
      </c>
      <c r="K57" s="17" t="str">
        <f>IF(I57="","",MATCH($I57,Settings!$F$5:$F$46,0))</f>
        <v/>
      </c>
      <c r="L57" s="18"/>
    </row>
    <row r="58" spans="2:12" x14ac:dyDescent="0.25">
      <c r="B58" s="16"/>
      <c r="C58" s="17" t="str">
        <f>IF(B58="","",IF(AND($B58&gt;=Settings!$C$10,$B58&lt;=Settings!$C$11),"OK","ERROR"))</f>
        <v/>
      </c>
      <c r="D58" s="18"/>
      <c r="E58" s="5"/>
      <c r="F58" s="19"/>
      <c r="G58" s="20" t="str">
        <f t="shared" si="0"/>
        <v/>
      </c>
      <c r="H58" s="18"/>
      <c r="I58" s="5"/>
      <c r="J58" s="21" t="str">
        <f t="shared" si="1"/>
        <v/>
      </c>
      <c r="K58" s="17" t="str">
        <f>IF(I58="","",MATCH($I58,Settings!$F$5:$F$46,0))</f>
        <v/>
      </c>
      <c r="L58" s="18"/>
    </row>
    <row r="59" spans="2:12" x14ac:dyDescent="0.25">
      <c r="B59" s="16"/>
      <c r="C59" s="17" t="str">
        <f>IF(B59="","",IF(AND($B59&gt;=Settings!$C$10,$B59&lt;=Settings!$C$11),"OK","ERROR"))</f>
        <v/>
      </c>
      <c r="D59" s="18"/>
      <c r="E59" s="5"/>
      <c r="F59" s="19"/>
      <c r="G59" s="20" t="str">
        <f t="shared" si="0"/>
        <v/>
      </c>
      <c r="H59" s="18"/>
      <c r="I59" s="5"/>
      <c r="J59" s="21" t="str">
        <f t="shared" si="1"/>
        <v/>
      </c>
      <c r="K59" s="17" t="str">
        <f>IF(I59="","",MATCH($I59,Settings!$F$5:$F$46,0))</f>
        <v/>
      </c>
      <c r="L59" s="18"/>
    </row>
    <row r="60" spans="2:12" x14ac:dyDescent="0.25">
      <c r="B60" s="16"/>
      <c r="C60" s="17" t="str">
        <f>IF(B60="","",IF(AND($B60&gt;=Settings!$C$10,$B60&lt;=Settings!$C$11),"OK","ERROR"))</f>
        <v/>
      </c>
      <c r="D60" s="18"/>
      <c r="E60" s="5"/>
      <c r="F60" s="19"/>
      <c r="G60" s="20" t="str">
        <f t="shared" si="0"/>
        <v/>
      </c>
      <c r="H60" s="18"/>
      <c r="I60" s="5"/>
      <c r="J60" s="21" t="str">
        <f t="shared" si="1"/>
        <v/>
      </c>
      <c r="K60" s="17" t="str">
        <f>IF(I60="","",MATCH($I60,Settings!$F$5:$F$46,0))</f>
        <v/>
      </c>
      <c r="L60" s="18"/>
    </row>
    <row r="61" spans="2:12" x14ac:dyDescent="0.25">
      <c r="B61" s="16"/>
      <c r="C61" s="17" t="str">
        <f>IF(B61="","",IF(AND($B61&gt;=Settings!$C$10,$B61&lt;=Settings!$C$11),"OK","ERROR"))</f>
        <v/>
      </c>
      <c r="D61" s="18"/>
      <c r="E61" s="5"/>
      <c r="F61" s="19"/>
      <c r="G61" s="20" t="str">
        <f t="shared" si="0"/>
        <v/>
      </c>
      <c r="H61" s="18"/>
      <c r="I61" s="5"/>
      <c r="J61" s="21" t="str">
        <f t="shared" si="1"/>
        <v/>
      </c>
      <c r="K61" s="17" t="str">
        <f>IF(I61="","",MATCH($I61,Settings!$F$5:$F$46,0))</f>
        <v/>
      </c>
      <c r="L61" s="18"/>
    </row>
    <row r="62" spans="2:12" x14ac:dyDescent="0.25">
      <c r="B62" s="16"/>
      <c r="C62" s="17" t="str">
        <f>IF(B62="","",IF(AND($B62&gt;=Settings!$C$10,$B62&lt;=Settings!$C$11),"OK","ERROR"))</f>
        <v/>
      </c>
      <c r="D62" s="18"/>
      <c r="E62" s="5"/>
      <c r="F62" s="19"/>
      <c r="G62" s="20" t="str">
        <f t="shared" si="0"/>
        <v/>
      </c>
      <c r="H62" s="18"/>
      <c r="I62" s="5"/>
      <c r="J62" s="21" t="str">
        <f t="shared" si="1"/>
        <v/>
      </c>
      <c r="K62" s="17" t="str">
        <f>IF(I62="","",MATCH($I62,Settings!$F$5:$F$46,0))</f>
        <v/>
      </c>
      <c r="L62" s="18"/>
    </row>
    <row r="63" spans="2:12" x14ac:dyDescent="0.25">
      <c r="B63" s="16"/>
      <c r="C63" s="17" t="str">
        <f>IF(B63="","",IF(AND($B63&gt;=Settings!$C$10,$B63&lt;=Settings!$C$11),"OK","ERROR"))</f>
        <v/>
      </c>
      <c r="D63" s="18"/>
      <c r="E63" s="5"/>
      <c r="F63" s="19"/>
      <c r="G63" s="20" t="str">
        <f t="shared" si="0"/>
        <v/>
      </c>
      <c r="H63" s="18"/>
      <c r="I63" s="5"/>
      <c r="J63" s="21" t="str">
        <f t="shared" si="1"/>
        <v/>
      </c>
      <c r="K63" s="17" t="str">
        <f>IF(I63="","",MATCH($I63,Settings!$F$5:$F$46,0))</f>
        <v/>
      </c>
      <c r="L63" s="18"/>
    </row>
    <row r="64" spans="2:12" x14ac:dyDescent="0.25">
      <c r="B64" s="16"/>
      <c r="C64" s="17" t="str">
        <f>IF(B64="","",IF(AND($B64&gt;=Settings!$C$10,$B64&lt;=Settings!$C$11),"OK","ERROR"))</f>
        <v/>
      </c>
      <c r="D64" s="18"/>
      <c r="E64" s="5"/>
      <c r="F64" s="19"/>
      <c r="G64" s="20" t="str">
        <f t="shared" si="0"/>
        <v/>
      </c>
      <c r="H64" s="18"/>
      <c r="I64" s="5"/>
      <c r="J64" s="21" t="str">
        <f t="shared" si="1"/>
        <v/>
      </c>
      <c r="K64" s="17" t="str">
        <f>IF(I64="","",MATCH($I64,Settings!$F$5:$F$46,0))</f>
        <v/>
      </c>
      <c r="L64" s="18"/>
    </row>
    <row r="65" spans="2:12" x14ac:dyDescent="0.25">
      <c r="B65" s="16"/>
      <c r="C65" s="17" t="str">
        <f>IF(B65="","",IF(AND($B65&gt;=Settings!$C$10,$B65&lt;=Settings!$C$11),"OK","ERROR"))</f>
        <v/>
      </c>
      <c r="D65" s="18"/>
      <c r="E65" s="5"/>
      <c r="F65" s="19"/>
      <c r="G65" s="20" t="str">
        <f t="shared" si="0"/>
        <v/>
      </c>
      <c r="H65" s="18"/>
      <c r="I65" s="5"/>
      <c r="J65" s="21" t="str">
        <f t="shared" si="1"/>
        <v/>
      </c>
      <c r="K65" s="17" t="str">
        <f>IF(I65="","",MATCH($I65,Settings!$F$5:$F$46,0))</f>
        <v/>
      </c>
      <c r="L65" s="18"/>
    </row>
    <row r="66" spans="2:12" x14ac:dyDescent="0.25">
      <c r="B66" s="16"/>
      <c r="C66" s="17" t="str">
        <f>IF(B66="","",IF(AND($B66&gt;=Settings!$C$10,$B66&lt;=Settings!$C$11),"OK","ERROR"))</f>
        <v/>
      </c>
      <c r="D66" s="18"/>
      <c r="E66" s="5"/>
      <c r="F66" s="19"/>
      <c r="G66" s="20" t="str">
        <f t="shared" si="0"/>
        <v/>
      </c>
      <c r="H66" s="18"/>
      <c r="I66" s="5"/>
      <c r="J66" s="21" t="str">
        <f t="shared" si="1"/>
        <v/>
      </c>
      <c r="K66" s="17" t="str">
        <f>IF(I66="","",MATCH($I66,Settings!$F$5:$F$46,0))</f>
        <v/>
      </c>
      <c r="L66" s="18"/>
    </row>
    <row r="67" spans="2:12" x14ac:dyDescent="0.25">
      <c r="B67" s="16"/>
      <c r="C67" s="17" t="str">
        <f>IF(B67="","",IF(AND($B67&gt;=Settings!$C$10,$B67&lt;=Settings!$C$11),"OK","ERROR"))</f>
        <v/>
      </c>
      <c r="D67" s="18"/>
      <c r="E67" s="5"/>
      <c r="F67" s="19"/>
      <c r="G67" s="20" t="str">
        <f t="shared" si="0"/>
        <v/>
      </c>
      <c r="H67" s="18"/>
      <c r="I67" s="5"/>
      <c r="J67" s="21" t="str">
        <f t="shared" si="1"/>
        <v/>
      </c>
      <c r="K67" s="17" t="str">
        <f>IF(I67="","",MATCH($I67,Settings!$F$5:$F$46,0))</f>
        <v/>
      </c>
      <c r="L67" s="18"/>
    </row>
    <row r="68" spans="2:12" x14ac:dyDescent="0.25">
      <c r="B68" s="16"/>
      <c r="C68" s="17" t="str">
        <f>IF(B68="","",IF(AND($B68&gt;=Settings!$C$10,$B68&lt;=Settings!$C$11),"OK","ERROR"))</f>
        <v/>
      </c>
      <c r="D68" s="18"/>
      <c r="E68" s="5"/>
      <c r="F68" s="19"/>
      <c r="G68" s="20" t="str">
        <f t="shared" si="0"/>
        <v/>
      </c>
      <c r="H68" s="18"/>
      <c r="I68" s="5"/>
      <c r="J68" s="21" t="str">
        <f t="shared" si="1"/>
        <v/>
      </c>
      <c r="K68" s="17" t="str">
        <f>IF(I68="","",MATCH($I68,Settings!$F$5:$F$46,0))</f>
        <v/>
      </c>
      <c r="L68" s="18"/>
    </row>
    <row r="69" spans="2:12" x14ac:dyDescent="0.25">
      <c r="B69" s="16"/>
      <c r="C69" s="17" t="str">
        <f>IF(B69="","",IF(AND($B69&gt;=Settings!$C$10,$B69&lt;=Settings!$C$11),"OK","ERROR"))</f>
        <v/>
      </c>
      <c r="D69" s="18"/>
      <c r="E69" s="5"/>
      <c r="F69" s="19"/>
      <c r="G69" s="20" t="str">
        <f t="shared" si="0"/>
        <v/>
      </c>
      <c r="H69" s="18"/>
      <c r="I69" s="5"/>
      <c r="J69" s="21" t="str">
        <f t="shared" si="1"/>
        <v/>
      </c>
      <c r="K69" s="17" t="str">
        <f>IF(I69="","",MATCH($I69,Settings!$F$5:$F$46,0))</f>
        <v/>
      </c>
      <c r="L69" s="18"/>
    </row>
    <row r="70" spans="2:12" x14ac:dyDescent="0.25">
      <c r="B70" s="16"/>
      <c r="C70" s="17" t="str">
        <f>IF(B70="","",IF(AND($B70&gt;=Settings!$C$10,$B70&lt;=Settings!$C$11),"OK","ERROR"))</f>
        <v/>
      </c>
      <c r="D70" s="18"/>
      <c r="E70" s="5"/>
      <c r="F70" s="19"/>
      <c r="G70" s="20" t="str">
        <f t="shared" ref="G70:G133" si="2">IF(F70="","",IF(I70&lt;&gt;"","OK","ERROR"))</f>
        <v/>
      </c>
      <c r="H70" s="18"/>
      <c r="I70" s="5"/>
      <c r="J70" s="21" t="str">
        <f t="shared" si="1"/>
        <v/>
      </c>
      <c r="K70" s="17" t="str">
        <f>IF(I70="","",MATCH($I70,Settings!$F$5:$F$46,0))</f>
        <v/>
      </c>
      <c r="L70" s="18"/>
    </row>
    <row r="71" spans="2:12" x14ac:dyDescent="0.25">
      <c r="B71" s="16"/>
      <c r="C71" s="17" t="str">
        <f>IF(B71="","",IF(AND($B71&gt;=Settings!$C$10,$B71&lt;=Settings!$C$11),"OK","ERROR"))</f>
        <v/>
      </c>
      <c r="D71" s="18"/>
      <c r="E71" s="5"/>
      <c r="F71" s="19"/>
      <c r="G71" s="20" t="str">
        <f t="shared" si="2"/>
        <v/>
      </c>
      <c r="H71" s="18"/>
      <c r="I71" s="5"/>
      <c r="J71" s="21" t="str">
        <f t="shared" ref="J71:J134" si="3">IF(I71="","",IF(ISERROR($K71)=TRUE,"ERROR","OK"))</f>
        <v/>
      </c>
      <c r="K71" s="17" t="str">
        <f>IF(I71="","",MATCH($I71,Settings!$F$5:$F$46,0))</f>
        <v/>
      </c>
      <c r="L71" s="18"/>
    </row>
    <row r="72" spans="2:12" x14ac:dyDescent="0.25">
      <c r="B72" s="16"/>
      <c r="C72" s="17" t="str">
        <f>IF(B72="","",IF(AND($B72&gt;=Settings!$C$10,$B72&lt;=Settings!$C$11),"OK","ERROR"))</f>
        <v/>
      </c>
      <c r="D72" s="18"/>
      <c r="E72" s="5"/>
      <c r="F72" s="19"/>
      <c r="G72" s="20" t="str">
        <f t="shared" si="2"/>
        <v/>
      </c>
      <c r="H72" s="18"/>
      <c r="I72" s="5"/>
      <c r="J72" s="21" t="str">
        <f t="shared" si="3"/>
        <v/>
      </c>
      <c r="K72" s="17" t="str">
        <f>IF(I72="","",MATCH($I72,Settings!$F$5:$F$46,0))</f>
        <v/>
      </c>
      <c r="L72" s="18"/>
    </row>
    <row r="73" spans="2:12" x14ac:dyDescent="0.25">
      <c r="B73" s="16"/>
      <c r="C73" s="17" t="str">
        <f>IF(B73="","",IF(AND($B73&gt;=Settings!$C$10,$B73&lt;=Settings!$C$11),"OK","ERROR"))</f>
        <v/>
      </c>
      <c r="D73" s="18"/>
      <c r="E73" s="5"/>
      <c r="F73" s="19"/>
      <c r="G73" s="20" t="str">
        <f t="shared" si="2"/>
        <v/>
      </c>
      <c r="H73" s="18"/>
      <c r="I73" s="5"/>
      <c r="J73" s="21" t="str">
        <f t="shared" si="3"/>
        <v/>
      </c>
      <c r="K73" s="17" t="str">
        <f>IF(I73="","",MATCH($I73,Settings!$F$5:$F$46,0))</f>
        <v/>
      </c>
      <c r="L73" s="18"/>
    </row>
    <row r="74" spans="2:12" x14ac:dyDescent="0.25">
      <c r="B74" s="16"/>
      <c r="C74" s="17" t="str">
        <f>IF(B74="","",IF(AND($B74&gt;=Settings!$C$10,$B74&lt;=Settings!$C$11),"OK","ERROR"))</f>
        <v/>
      </c>
      <c r="D74" s="18"/>
      <c r="E74" s="5"/>
      <c r="F74" s="19"/>
      <c r="G74" s="20" t="str">
        <f t="shared" si="2"/>
        <v/>
      </c>
      <c r="H74" s="18"/>
      <c r="I74" s="5"/>
      <c r="J74" s="21" t="str">
        <f t="shared" si="3"/>
        <v/>
      </c>
      <c r="K74" s="17" t="str">
        <f>IF(I74="","",MATCH($I74,Settings!$F$5:$F$46,0))</f>
        <v/>
      </c>
      <c r="L74" s="18"/>
    </row>
    <row r="75" spans="2:12" x14ac:dyDescent="0.25">
      <c r="B75" s="16"/>
      <c r="C75" s="17" t="str">
        <f>IF(B75="","",IF(AND($B75&gt;=Settings!$C$10,$B75&lt;=Settings!$C$11),"OK","ERROR"))</f>
        <v/>
      </c>
      <c r="D75" s="18"/>
      <c r="E75" s="5"/>
      <c r="F75" s="19"/>
      <c r="G75" s="20" t="str">
        <f t="shared" si="2"/>
        <v/>
      </c>
      <c r="H75" s="18"/>
      <c r="I75" s="5"/>
      <c r="J75" s="21" t="str">
        <f t="shared" si="3"/>
        <v/>
      </c>
      <c r="K75" s="17" t="str">
        <f>IF(I75="","",MATCH($I75,Settings!$F$5:$F$46,0))</f>
        <v/>
      </c>
      <c r="L75" s="18"/>
    </row>
    <row r="76" spans="2:12" x14ac:dyDescent="0.25">
      <c r="B76" s="16"/>
      <c r="C76" s="17" t="str">
        <f>IF(B76="","",IF(AND($B76&gt;=Settings!$C$10,$B76&lt;=Settings!$C$11),"OK","ERROR"))</f>
        <v/>
      </c>
      <c r="D76" s="18"/>
      <c r="E76" s="5"/>
      <c r="F76" s="19"/>
      <c r="G76" s="20" t="str">
        <f t="shared" si="2"/>
        <v/>
      </c>
      <c r="H76" s="18"/>
      <c r="I76" s="5"/>
      <c r="J76" s="21" t="str">
        <f t="shared" si="3"/>
        <v/>
      </c>
      <c r="K76" s="17" t="str">
        <f>IF(I76="","",MATCH($I76,Settings!$F$5:$F$46,0))</f>
        <v/>
      </c>
      <c r="L76" s="18"/>
    </row>
    <row r="77" spans="2:12" x14ac:dyDescent="0.25">
      <c r="B77" s="16"/>
      <c r="C77" s="17" t="str">
        <f>IF(B77="","",IF(AND($B77&gt;=Settings!$C$10,$B77&lt;=Settings!$C$11),"OK","ERROR"))</f>
        <v/>
      </c>
      <c r="D77" s="18"/>
      <c r="E77" s="5"/>
      <c r="F77" s="19"/>
      <c r="G77" s="20" t="str">
        <f t="shared" si="2"/>
        <v/>
      </c>
      <c r="H77" s="18"/>
      <c r="I77" s="5"/>
      <c r="J77" s="21" t="str">
        <f t="shared" si="3"/>
        <v/>
      </c>
      <c r="K77" s="17" t="str">
        <f>IF(I77="","",MATCH($I77,Settings!$F$5:$F$46,0))</f>
        <v/>
      </c>
      <c r="L77" s="18"/>
    </row>
    <row r="78" spans="2:12" x14ac:dyDescent="0.25">
      <c r="B78" s="16"/>
      <c r="C78" s="17" t="str">
        <f>IF(B78="","",IF(AND($B78&gt;=Settings!$C$10,$B78&lt;=Settings!$C$11),"OK","ERROR"))</f>
        <v/>
      </c>
      <c r="D78" s="18"/>
      <c r="E78" s="5"/>
      <c r="F78" s="19"/>
      <c r="G78" s="20" t="str">
        <f t="shared" si="2"/>
        <v/>
      </c>
      <c r="H78" s="18"/>
      <c r="I78" s="5"/>
      <c r="J78" s="21" t="str">
        <f t="shared" si="3"/>
        <v/>
      </c>
      <c r="K78" s="17" t="str">
        <f>IF(I78="","",MATCH($I78,Settings!$F$5:$F$46,0))</f>
        <v/>
      </c>
      <c r="L78" s="18"/>
    </row>
    <row r="79" spans="2:12" x14ac:dyDescent="0.25">
      <c r="B79" s="16"/>
      <c r="C79" s="17" t="str">
        <f>IF(B79="","",IF(AND($B79&gt;=Settings!$C$10,$B79&lt;=Settings!$C$11),"OK","ERROR"))</f>
        <v/>
      </c>
      <c r="D79" s="18"/>
      <c r="E79" s="5"/>
      <c r="F79" s="19"/>
      <c r="G79" s="20" t="str">
        <f t="shared" si="2"/>
        <v/>
      </c>
      <c r="H79" s="18"/>
      <c r="I79" s="5"/>
      <c r="J79" s="21" t="str">
        <f t="shared" si="3"/>
        <v/>
      </c>
      <c r="K79" s="17" t="str">
        <f>IF(I79="","",MATCH($I79,Settings!$F$5:$F$46,0))</f>
        <v/>
      </c>
      <c r="L79" s="18"/>
    </row>
    <row r="80" spans="2:12" x14ac:dyDescent="0.25">
      <c r="B80" s="16"/>
      <c r="C80" s="17" t="str">
        <f>IF(B80="","",IF(AND($B80&gt;=Settings!$C$10,$B80&lt;=Settings!$C$11),"OK","ERROR"))</f>
        <v/>
      </c>
      <c r="D80" s="18"/>
      <c r="E80" s="5"/>
      <c r="F80" s="19"/>
      <c r="G80" s="20" t="str">
        <f t="shared" si="2"/>
        <v/>
      </c>
      <c r="H80" s="18"/>
      <c r="I80" s="5"/>
      <c r="J80" s="21" t="str">
        <f t="shared" si="3"/>
        <v/>
      </c>
      <c r="K80" s="17" t="str">
        <f>IF(I80="","",MATCH($I80,Settings!$F$5:$F$46,0))</f>
        <v/>
      </c>
      <c r="L80" s="18"/>
    </row>
    <row r="81" spans="2:12" x14ac:dyDescent="0.25">
      <c r="B81" s="16"/>
      <c r="C81" s="17" t="str">
        <f>IF(B81="","",IF(AND($B81&gt;=Settings!$C$10,$B81&lt;=Settings!$C$11),"OK","ERROR"))</f>
        <v/>
      </c>
      <c r="D81" s="18"/>
      <c r="E81" s="5"/>
      <c r="F81" s="19"/>
      <c r="G81" s="20" t="str">
        <f t="shared" si="2"/>
        <v/>
      </c>
      <c r="H81" s="18"/>
      <c r="I81" s="5"/>
      <c r="J81" s="21" t="str">
        <f t="shared" si="3"/>
        <v/>
      </c>
      <c r="K81" s="17" t="str">
        <f>IF(I81="","",MATCH($I81,Settings!$F$5:$F$46,0))</f>
        <v/>
      </c>
      <c r="L81" s="18"/>
    </row>
    <row r="82" spans="2:12" x14ac:dyDescent="0.25">
      <c r="B82" s="16"/>
      <c r="C82" s="17" t="str">
        <f>IF(B82="","",IF(AND($B82&gt;=Settings!$C$10,$B82&lt;=Settings!$C$11),"OK","ERROR"))</f>
        <v/>
      </c>
      <c r="D82" s="18"/>
      <c r="E82" s="5"/>
      <c r="F82" s="19"/>
      <c r="G82" s="20" t="str">
        <f t="shared" si="2"/>
        <v/>
      </c>
      <c r="H82" s="18"/>
      <c r="I82" s="5"/>
      <c r="J82" s="21" t="str">
        <f t="shared" si="3"/>
        <v/>
      </c>
      <c r="K82" s="17" t="str">
        <f>IF(I82="","",MATCH($I82,Settings!$F$5:$F$46,0))</f>
        <v/>
      </c>
      <c r="L82" s="18"/>
    </row>
    <row r="83" spans="2:12" x14ac:dyDescent="0.25">
      <c r="B83" s="16"/>
      <c r="C83" s="17" t="str">
        <f>IF(B83="","",IF(AND($B83&gt;=Settings!$C$10,$B83&lt;=Settings!$C$11),"OK","ERROR"))</f>
        <v/>
      </c>
      <c r="D83" s="18"/>
      <c r="E83" s="5"/>
      <c r="F83" s="19"/>
      <c r="G83" s="20" t="str">
        <f t="shared" si="2"/>
        <v/>
      </c>
      <c r="H83" s="18"/>
      <c r="I83" s="5"/>
      <c r="J83" s="21" t="str">
        <f t="shared" si="3"/>
        <v/>
      </c>
      <c r="K83" s="17" t="str">
        <f>IF(I83="","",MATCH($I83,Settings!$F$5:$F$46,0))</f>
        <v/>
      </c>
      <c r="L83" s="18"/>
    </row>
    <row r="84" spans="2:12" x14ac:dyDescent="0.25">
      <c r="B84" s="16"/>
      <c r="C84" s="17" t="str">
        <f>IF(B84="","",IF(AND($B84&gt;=Settings!$C$10,$B84&lt;=Settings!$C$11),"OK","ERROR"))</f>
        <v/>
      </c>
      <c r="D84" s="18"/>
      <c r="E84" s="5"/>
      <c r="F84" s="19"/>
      <c r="G84" s="20" t="str">
        <f t="shared" si="2"/>
        <v/>
      </c>
      <c r="H84" s="18"/>
      <c r="I84" s="5"/>
      <c r="J84" s="21" t="str">
        <f t="shared" si="3"/>
        <v/>
      </c>
      <c r="K84" s="17" t="str">
        <f>IF(I84="","",MATCH($I84,Settings!$F$5:$F$46,0))</f>
        <v/>
      </c>
      <c r="L84" s="18"/>
    </row>
    <row r="85" spans="2:12" x14ac:dyDescent="0.25">
      <c r="B85" s="16"/>
      <c r="C85" s="17" t="str">
        <f>IF(B85="","",IF(AND($B85&gt;=Settings!$C$10,$B85&lt;=Settings!$C$11),"OK","ERROR"))</f>
        <v/>
      </c>
      <c r="D85" s="18"/>
      <c r="E85" s="5"/>
      <c r="F85" s="19"/>
      <c r="G85" s="20" t="str">
        <f t="shared" si="2"/>
        <v/>
      </c>
      <c r="H85" s="18"/>
      <c r="I85" s="5"/>
      <c r="J85" s="21" t="str">
        <f t="shared" si="3"/>
        <v/>
      </c>
      <c r="K85" s="17" t="str">
        <f>IF(I85="","",MATCH($I85,Settings!$F$5:$F$46,0))</f>
        <v/>
      </c>
      <c r="L85" s="18"/>
    </row>
    <row r="86" spans="2:12" x14ac:dyDescent="0.25">
      <c r="B86" s="16"/>
      <c r="C86" s="17" t="str">
        <f>IF(B86="","",IF(AND($B86&gt;=Settings!$C$10,$B86&lt;=Settings!$C$11),"OK","ERROR"))</f>
        <v/>
      </c>
      <c r="D86" s="18"/>
      <c r="E86" s="5"/>
      <c r="F86" s="19"/>
      <c r="G86" s="20" t="str">
        <f t="shared" si="2"/>
        <v/>
      </c>
      <c r="H86" s="18"/>
      <c r="I86" s="5"/>
      <c r="J86" s="21" t="str">
        <f t="shared" si="3"/>
        <v/>
      </c>
      <c r="K86" s="17" t="str">
        <f>IF(I86="","",MATCH($I86,Settings!$F$5:$F$46,0))</f>
        <v/>
      </c>
      <c r="L86" s="18"/>
    </row>
    <row r="87" spans="2:12" x14ac:dyDescent="0.25">
      <c r="B87" s="16"/>
      <c r="C87" s="17" t="str">
        <f>IF(B87="","",IF(AND($B87&gt;=Settings!$C$10,$B87&lt;=Settings!$C$11),"OK","ERROR"))</f>
        <v/>
      </c>
      <c r="D87" s="18"/>
      <c r="E87" s="5"/>
      <c r="F87" s="19"/>
      <c r="G87" s="20" t="str">
        <f t="shared" si="2"/>
        <v/>
      </c>
      <c r="H87" s="18"/>
      <c r="I87" s="5"/>
      <c r="J87" s="21" t="str">
        <f t="shared" si="3"/>
        <v/>
      </c>
      <c r="K87" s="17" t="str">
        <f>IF(I87="","",MATCH($I87,Settings!$F$5:$F$46,0))</f>
        <v/>
      </c>
      <c r="L87" s="18"/>
    </row>
    <row r="88" spans="2:12" x14ac:dyDescent="0.25">
      <c r="B88" s="16"/>
      <c r="C88" s="17" t="str">
        <f>IF(B88="","",IF(AND($B88&gt;=Settings!$C$10,$B88&lt;=Settings!$C$11),"OK","ERROR"))</f>
        <v/>
      </c>
      <c r="D88" s="18"/>
      <c r="E88" s="5"/>
      <c r="F88" s="19"/>
      <c r="G88" s="20" t="str">
        <f t="shared" si="2"/>
        <v/>
      </c>
      <c r="H88" s="18"/>
      <c r="I88" s="5"/>
      <c r="J88" s="21" t="str">
        <f t="shared" si="3"/>
        <v/>
      </c>
      <c r="K88" s="17" t="str">
        <f>IF(I88="","",MATCH($I88,Settings!$F$5:$F$46,0))</f>
        <v/>
      </c>
      <c r="L88" s="18"/>
    </row>
    <row r="89" spans="2:12" x14ac:dyDescent="0.25">
      <c r="B89" s="16"/>
      <c r="C89" s="17" t="str">
        <f>IF(B89="","",IF(AND($B89&gt;=Settings!$C$10,$B89&lt;=Settings!$C$11),"OK","ERROR"))</f>
        <v/>
      </c>
      <c r="D89" s="18"/>
      <c r="E89" s="5"/>
      <c r="F89" s="19"/>
      <c r="G89" s="20" t="str">
        <f t="shared" si="2"/>
        <v/>
      </c>
      <c r="H89" s="18"/>
      <c r="I89" s="5"/>
      <c r="J89" s="21" t="str">
        <f t="shared" si="3"/>
        <v/>
      </c>
      <c r="K89" s="17" t="str">
        <f>IF(I89="","",MATCH($I89,Settings!$F$5:$F$46,0))</f>
        <v/>
      </c>
      <c r="L89" s="18"/>
    </row>
    <row r="90" spans="2:12" x14ac:dyDescent="0.25">
      <c r="B90" s="16"/>
      <c r="C90" s="17" t="str">
        <f>IF(B90="","",IF(AND($B90&gt;=Settings!$C$10,$B90&lt;=Settings!$C$11),"OK","ERROR"))</f>
        <v/>
      </c>
      <c r="D90" s="18"/>
      <c r="E90" s="5"/>
      <c r="F90" s="19"/>
      <c r="G90" s="20" t="str">
        <f t="shared" si="2"/>
        <v/>
      </c>
      <c r="H90" s="18"/>
      <c r="I90" s="5"/>
      <c r="J90" s="21" t="str">
        <f t="shared" si="3"/>
        <v/>
      </c>
      <c r="K90" s="17" t="str">
        <f>IF(I90="","",MATCH($I90,Settings!$F$5:$F$46,0))</f>
        <v/>
      </c>
      <c r="L90" s="18"/>
    </row>
    <row r="91" spans="2:12" x14ac:dyDescent="0.25">
      <c r="B91" s="16"/>
      <c r="C91" s="17" t="str">
        <f>IF(B91="","",IF(AND($B91&gt;=Settings!$C$10,$B91&lt;=Settings!$C$11),"OK","ERROR"))</f>
        <v/>
      </c>
      <c r="D91" s="18"/>
      <c r="E91" s="5"/>
      <c r="F91" s="19"/>
      <c r="G91" s="20" t="str">
        <f t="shared" si="2"/>
        <v/>
      </c>
      <c r="H91" s="18"/>
      <c r="I91" s="5"/>
      <c r="J91" s="21" t="str">
        <f t="shared" si="3"/>
        <v/>
      </c>
      <c r="K91" s="17" t="str">
        <f>IF(I91="","",MATCH($I91,Settings!$F$5:$F$46,0))</f>
        <v/>
      </c>
      <c r="L91" s="18"/>
    </row>
    <row r="92" spans="2:12" x14ac:dyDescent="0.25">
      <c r="B92" s="16"/>
      <c r="C92" s="17" t="str">
        <f>IF(B92="","",IF(AND($B92&gt;=Settings!$C$10,$B92&lt;=Settings!$C$11),"OK","ERROR"))</f>
        <v/>
      </c>
      <c r="D92" s="18"/>
      <c r="E92" s="5"/>
      <c r="F92" s="19"/>
      <c r="G92" s="20" t="str">
        <f t="shared" si="2"/>
        <v/>
      </c>
      <c r="H92" s="18"/>
      <c r="I92" s="5"/>
      <c r="J92" s="21" t="str">
        <f t="shared" si="3"/>
        <v/>
      </c>
      <c r="K92" s="17" t="str">
        <f>IF(I92="","",MATCH($I92,Settings!$F$5:$F$46,0))</f>
        <v/>
      </c>
      <c r="L92" s="18"/>
    </row>
    <row r="93" spans="2:12" x14ac:dyDescent="0.25">
      <c r="B93" s="16"/>
      <c r="C93" s="17" t="str">
        <f>IF(B93="","",IF(AND($B93&gt;=Settings!$C$10,$B93&lt;=Settings!$C$11),"OK","ERROR"))</f>
        <v/>
      </c>
      <c r="D93" s="18"/>
      <c r="E93" s="5"/>
      <c r="F93" s="19"/>
      <c r="G93" s="20" t="str">
        <f t="shared" si="2"/>
        <v/>
      </c>
      <c r="H93" s="18"/>
      <c r="I93" s="5"/>
      <c r="J93" s="21" t="str">
        <f t="shared" si="3"/>
        <v/>
      </c>
      <c r="K93" s="17" t="str">
        <f>IF(I93="","",MATCH($I93,Settings!$F$5:$F$46,0))</f>
        <v/>
      </c>
      <c r="L93" s="18"/>
    </row>
    <row r="94" spans="2:12" x14ac:dyDescent="0.25">
      <c r="B94" s="16"/>
      <c r="C94" s="17" t="str">
        <f>IF(B94="","",IF(AND($B94&gt;=Settings!$C$10,$B94&lt;=Settings!$C$11),"OK","ERROR"))</f>
        <v/>
      </c>
      <c r="D94" s="18"/>
      <c r="E94" s="5"/>
      <c r="F94" s="19"/>
      <c r="G94" s="20" t="str">
        <f t="shared" si="2"/>
        <v/>
      </c>
      <c r="H94" s="18"/>
      <c r="I94" s="5"/>
      <c r="J94" s="21" t="str">
        <f t="shared" si="3"/>
        <v/>
      </c>
      <c r="K94" s="17" t="str">
        <f>IF(I94="","",MATCH($I94,Settings!$F$5:$F$46,0))</f>
        <v/>
      </c>
      <c r="L94" s="18"/>
    </row>
    <row r="95" spans="2:12" x14ac:dyDescent="0.25">
      <c r="B95" s="16"/>
      <c r="C95" s="17" t="str">
        <f>IF(B95="","",IF(AND($B95&gt;=Settings!$C$10,$B95&lt;=Settings!$C$11),"OK","ERROR"))</f>
        <v/>
      </c>
      <c r="D95" s="18"/>
      <c r="E95" s="5"/>
      <c r="F95" s="19"/>
      <c r="G95" s="20" t="str">
        <f t="shared" si="2"/>
        <v/>
      </c>
      <c r="H95" s="18"/>
      <c r="I95" s="5"/>
      <c r="J95" s="21" t="str">
        <f t="shared" si="3"/>
        <v/>
      </c>
      <c r="K95" s="17" t="str">
        <f>IF(I95="","",MATCH($I95,Settings!$F$5:$F$46,0))</f>
        <v/>
      </c>
      <c r="L95" s="18"/>
    </row>
    <row r="96" spans="2:12" x14ac:dyDescent="0.25">
      <c r="B96" s="16"/>
      <c r="C96" s="17" t="str">
        <f>IF(B96="","",IF(AND($B96&gt;=Settings!$C$10,$B96&lt;=Settings!$C$11),"OK","ERROR"))</f>
        <v/>
      </c>
      <c r="D96" s="18"/>
      <c r="E96" s="5"/>
      <c r="F96" s="19"/>
      <c r="G96" s="20" t="str">
        <f t="shared" si="2"/>
        <v/>
      </c>
      <c r="H96" s="18"/>
      <c r="I96" s="5"/>
      <c r="J96" s="21" t="str">
        <f t="shared" si="3"/>
        <v/>
      </c>
      <c r="K96" s="17" t="str">
        <f>IF(I96="","",MATCH($I96,Settings!$F$5:$F$46,0))</f>
        <v/>
      </c>
      <c r="L96" s="18"/>
    </row>
    <row r="97" spans="2:12" x14ac:dyDescent="0.25">
      <c r="B97" s="16"/>
      <c r="C97" s="17" t="str">
        <f>IF(B97="","",IF(AND($B97&gt;=Settings!$C$10,$B97&lt;=Settings!$C$11),"OK","ERROR"))</f>
        <v/>
      </c>
      <c r="D97" s="18"/>
      <c r="E97" s="5"/>
      <c r="F97" s="19"/>
      <c r="G97" s="20" t="str">
        <f t="shared" si="2"/>
        <v/>
      </c>
      <c r="H97" s="18"/>
      <c r="I97" s="5"/>
      <c r="J97" s="21" t="str">
        <f t="shared" si="3"/>
        <v/>
      </c>
      <c r="K97" s="17" t="str">
        <f>IF(I97="","",MATCH($I97,Settings!$F$5:$F$46,0))</f>
        <v/>
      </c>
      <c r="L97" s="18"/>
    </row>
    <row r="98" spans="2:12" x14ac:dyDescent="0.25">
      <c r="B98" s="16"/>
      <c r="C98" s="17" t="str">
        <f>IF(B98="","",IF(AND($B98&gt;=Settings!$C$10,$B98&lt;=Settings!$C$11),"OK","ERROR"))</f>
        <v/>
      </c>
      <c r="D98" s="18"/>
      <c r="E98" s="5"/>
      <c r="F98" s="19"/>
      <c r="G98" s="20" t="str">
        <f t="shared" si="2"/>
        <v/>
      </c>
      <c r="H98" s="18"/>
      <c r="I98" s="5"/>
      <c r="J98" s="21" t="str">
        <f t="shared" si="3"/>
        <v/>
      </c>
      <c r="K98" s="17" t="str">
        <f>IF(I98="","",MATCH($I98,Settings!$F$5:$F$46,0))</f>
        <v/>
      </c>
      <c r="L98" s="18"/>
    </row>
    <row r="99" spans="2:12" x14ac:dyDescent="0.25">
      <c r="B99" s="16"/>
      <c r="C99" s="17" t="str">
        <f>IF(B99="","",IF(AND($B99&gt;=Settings!$C$10,$B99&lt;=Settings!$C$11),"OK","ERROR"))</f>
        <v/>
      </c>
      <c r="D99" s="18"/>
      <c r="E99" s="5"/>
      <c r="F99" s="19"/>
      <c r="G99" s="20" t="str">
        <f t="shared" si="2"/>
        <v/>
      </c>
      <c r="H99" s="18"/>
      <c r="I99" s="5"/>
      <c r="J99" s="21" t="str">
        <f t="shared" si="3"/>
        <v/>
      </c>
      <c r="K99" s="17" t="str">
        <f>IF(I99="","",MATCH($I99,Settings!$F$5:$F$46,0))</f>
        <v/>
      </c>
      <c r="L99" s="18"/>
    </row>
    <row r="100" spans="2:12" x14ac:dyDescent="0.25">
      <c r="B100" s="16"/>
      <c r="C100" s="17" t="str">
        <f>IF(B100="","",IF(AND($B100&gt;=Settings!$C$10,$B100&lt;=Settings!$C$11),"OK","ERROR"))</f>
        <v/>
      </c>
      <c r="D100" s="18"/>
      <c r="E100" s="5"/>
      <c r="F100" s="19"/>
      <c r="G100" s="20" t="str">
        <f t="shared" si="2"/>
        <v/>
      </c>
      <c r="H100" s="18"/>
      <c r="I100" s="5"/>
      <c r="J100" s="21" t="str">
        <f t="shared" si="3"/>
        <v/>
      </c>
      <c r="K100" s="17" t="str">
        <f>IF(I100="","",MATCH($I100,Settings!$F$5:$F$46,0))</f>
        <v/>
      </c>
      <c r="L100" s="18"/>
    </row>
    <row r="101" spans="2:12" x14ac:dyDescent="0.25">
      <c r="B101" s="16"/>
      <c r="C101" s="17" t="str">
        <f>IF(B101="","",IF(AND($B101&gt;=Settings!$C$10,$B101&lt;=Settings!$C$11),"OK","ERROR"))</f>
        <v/>
      </c>
      <c r="D101" s="18"/>
      <c r="E101" s="5"/>
      <c r="F101" s="19"/>
      <c r="G101" s="20" t="str">
        <f t="shared" si="2"/>
        <v/>
      </c>
      <c r="H101" s="18"/>
      <c r="I101" s="5"/>
      <c r="J101" s="21" t="str">
        <f t="shared" si="3"/>
        <v/>
      </c>
      <c r="K101" s="17" t="str">
        <f>IF(I101="","",MATCH($I101,Settings!$F$5:$F$46,0))</f>
        <v/>
      </c>
      <c r="L101" s="18"/>
    </row>
    <row r="102" spans="2:12" x14ac:dyDescent="0.25">
      <c r="B102" s="16"/>
      <c r="C102" s="17" t="str">
        <f>IF(B102="","",IF(AND($B102&gt;=Settings!$C$10,$B102&lt;=Settings!$C$11),"OK","ERROR"))</f>
        <v/>
      </c>
      <c r="D102" s="18"/>
      <c r="E102" s="5"/>
      <c r="F102" s="19"/>
      <c r="G102" s="20" t="str">
        <f t="shared" si="2"/>
        <v/>
      </c>
      <c r="H102" s="18"/>
      <c r="I102" s="5"/>
      <c r="J102" s="21" t="str">
        <f t="shared" si="3"/>
        <v/>
      </c>
      <c r="K102" s="17" t="str">
        <f>IF(I102="","",MATCH($I102,Settings!$F$5:$F$46,0))</f>
        <v/>
      </c>
      <c r="L102" s="18"/>
    </row>
    <row r="103" spans="2:12" x14ac:dyDescent="0.25">
      <c r="B103" s="16"/>
      <c r="C103" s="17" t="str">
        <f>IF(B103="","",IF(AND($B103&gt;=Settings!$C$10,$B103&lt;=Settings!$C$11),"OK","ERROR"))</f>
        <v/>
      </c>
      <c r="D103" s="18"/>
      <c r="E103" s="5"/>
      <c r="F103" s="19"/>
      <c r="G103" s="20" t="str">
        <f t="shared" si="2"/>
        <v/>
      </c>
      <c r="H103" s="18"/>
      <c r="I103" s="5"/>
      <c r="J103" s="21" t="str">
        <f t="shared" si="3"/>
        <v/>
      </c>
      <c r="K103" s="17" t="str">
        <f>IF(I103="","",MATCH($I103,Settings!$F$5:$F$46,0))</f>
        <v/>
      </c>
      <c r="L103" s="18"/>
    </row>
    <row r="104" spans="2:12" x14ac:dyDescent="0.25">
      <c r="B104" s="16"/>
      <c r="C104" s="17" t="str">
        <f>IF(B104="","",IF(AND($B104&gt;=Settings!$C$10,$B104&lt;=Settings!$C$11),"OK","ERROR"))</f>
        <v/>
      </c>
      <c r="D104" s="18"/>
      <c r="E104" s="5"/>
      <c r="F104" s="19"/>
      <c r="G104" s="20" t="str">
        <f t="shared" si="2"/>
        <v/>
      </c>
      <c r="H104" s="18"/>
      <c r="I104" s="5"/>
      <c r="J104" s="21" t="str">
        <f t="shared" si="3"/>
        <v/>
      </c>
      <c r="K104" s="17" t="str">
        <f>IF(I104="","",MATCH($I104,Settings!$F$5:$F$46,0))</f>
        <v/>
      </c>
      <c r="L104" s="18"/>
    </row>
    <row r="105" spans="2:12" x14ac:dyDescent="0.25">
      <c r="B105" s="16"/>
      <c r="C105" s="17" t="str">
        <f>IF(B105="","",IF(AND($B105&gt;=Settings!$C$10,$B105&lt;=Settings!$C$11),"OK","ERROR"))</f>
        <v/>
      </c>
      <c r="D105" s="18"/>
      <c r="E105" s="5"/>
      <c r="F105" s="19"/>
      <c r="G105" s="20" t="str">
        <f t="shared" si="2"/>
        <v/>
      </c>
      <c r="H105" s="18"/>
      <c r="I105" s="5"/>
      <c r="J105" s="21" t="str">
        <f t="shared" si="3"/>
        <v/>
      </c>
      <c r="K105" s="17" t="str">
        <f>IF(I105="","",MATCH($I105,Settings!$F$5:$F$46,0))</f>
        <v/>
      </c>
      <c r="L105" s="18"/>
    </row>
    <row r="106" spans="2:12" x14ac:dyDescent="0.25">
      <c r="B106" s="16"/>
      <c r="C106" s="17" t="str">
        <f>IF(B106="","",IF(AND($B106&gt;=Settings!$C$10,$B106&lt;=Settings!$C$11),"OK","ERROR"))</f>
        <v/>
      </c>
      <c r="D106" s="18"/>
      <c r="E106" s="5"/>
      <c r="F106" s="19"/>
      <c r="G106" s="20" t="str">
        <f t="shared" si="2"/>
        <v/>
      </c>
      <c r="H106" s="18"/>
      <c r="I106" s="5"/>
      <c r="J106" s="21" t="str">
        <f t="shared" si="3"/>
        <v/>
      </c>
      <c r="K106" s="17" t="str">
        <f>IF(I106="","",MATCH($I106,Settings!$F$5:$F$46,0))</f>
        <v/>
      </c>
      <c r="L106" s="18"/>
    </row>
    <row r="107" spans="2:12" x14ac:dyDescent="0.25">
      <c r="B107" s="16"/>
      <c r="C107" s="17" t="str">
        <f>IF(B107="","",IF(AND($B107&gt;=Settings!$C$10,$B107&lt;=Settings!$C$11),"OK","ERROR"))</f>
        <v/>
      </c>
      <c r="D107" s="18"/>
      <c r="E107" s="5"/>
      <c r="F107" s="19"/>
      <c r="G107" s="20" t="str">
        <f t="shared" si="2"/>
        <v/>
      </c>
      <c r="H107" s="18"/>
      <c r="I107" s="5"/>
      <c r="J107" s="21" t="str">
        <f t="shared" si="3"/>
        <v/>
      </c>
      <c r="K107" s="17" t="str">
        <f>IF(I107="","",MATCH($I107,Settings!$F$5:$F$46,0))</f>
        <v/>
      </c>
      <c r="L107" s="18"/>
    </row>
    <row r="108" spans="2:12" x14ac:dyDescent="0.25">
      <c r="B108" s="16"/>
      <c r="C108" s="17" t="str">
        <f>IF(B108="","",IF(AND($B108&gt;=Settings!$C$10,$B108&lt;=Settings!$C$11),"OK","ERROR"))</f>
        <v/>
      </c>
      <c r="D108" s="18"/>
      <c r="E108" s="5"/>
      <c r="F108" s="19"/>
      <c r="G108" s="20" t="str">
        <f t="shared" si="2"/>
        <v/>
      </c>
      <c r="H108" s="18"/>
      <c r="I108" s="5"/>
      <c r="J108" s="21" t="str">
        <f t="shared" si="3"/>
        <v/>
      </c>
      <c r="K108" s="17" t="str">
        <f>IF(I108="","",MATCH($I108,Settings!$F$5:$F$46,0))</f>
        <v/>
      </c>
      <c r="L108" s="18"/>
    </row>
    <row r="109" spans="2:12" x14ac:dyDescent="0.25">
      <c r="B109" s="16"/>
      <c r="C109" s="17" t="str">
        <f>IF(B109="","",IF(AND($B109&gt;=Settings!$C$10,$B109&lt;=Settings!$C$11),"OK","ERROR"))</f>
        <v/>
      </c>
      <c r="D109" s="18"/>
      <c r="E109" s="5"/>
      <c r="F109" s="19"/>
      <c r="G109" s="20" t="str">
        <f t="shared" si="2"/>
        <v/>
      </c>
      <c r="H109" s="18"/>
      <c r="I109" s="5"/>
      <c r="J109" s="21" t="str">
        <f t="shared" si="3"/>
        <v/>
      </c>
      <c r="K109" s="17" t="str">
        <f>IF(I109="","",MATCH($I109,Settings!$F$5:$F$46,0))</f>
        <v/>
      </c>
      <c r="L109" s="18"/>
    </row>
    <row r="110" spans="2:12" x14ac:dyDescent="0.25">
      <c r="B110" s="16"/>
      <c r="C110" s="17" t="str">
        <f>IF(B110="","",IF(AND($B110&gt;=Settings!$C$10,$B110&lt;=Settings!$C$11),"OK","ERROR"))</f>
        <v/>
      </c>
      <c r="D110" s="18"/>
      <c r="E110" s="5"/>
      <c r="F110" s="19"/>
      <c r="G110" s="20" t="str">
        <f t="shared" si="2"/>
        <v/>
      </c>
      <c r="H110" s="18"/>
      <c r="I110" s="5"/>
      <c r="J110" s="21" t="str">
        <f t="shared" si="3"/>
        <v/>
      </c>
      <c r="K110" s="17" t="str">
        <f>IF(I110="","",MATCH($I110,Settings!$F$5:$F$46,0))</f>
        <v/>
      </c>
      <c r="L110" s="18"/>
    </row>
    <row r="111" spans="2:12" x14ac:dyDescent="0.25">
      <c r="B111" s="16"/>
      <c r="C111" s="17" t="str">
        <f>IF(B111="","",IF(AND($B111&gt;=Settings!$C$10,$B111&lt;=Settings!$C$11),"OK","ERROR"))</f>
        <v/>
      </c>
      <c r="D111" s="18"/>
      <c r="E111" s="5"/>
      <c r="F111" s="19"/>
      <c r="G111" s="20" t="str">
        <f t="shared" si="2"/>
        <v/>
      </c>
      <c r="H111" s="18"/>
      <c r="I111" s="5"/>
      <c r="J111" s="21" t="str">
        <f t="shared" si="3"/>
        <v/>
      </c>
      <c r="K111" s="17" t="str">
        <f>IF(I111="","",MATCH($I111,Settings!$F$5:$F$46,0))</f>
        <v/>
      </c>
      <c r="L111" s="18"/>
    </row>
    <row r="112" spans="2:12" x14ac:dyDescent="0.25">
      <c r="B112" s="16"/>
      <c r="C112" s="17" t="str">
        <f>IF(B112="","",IF(AND($B112&gt;=Settings!$C$10,$B112&lt;=Settings!$C$11),"OK","ERROR"))</f>
        <v/>
      </c>
      <c r="D112" s="18"/>
      <c r="E112" s="5"/>
      <c r="F112" s="19"/>
      <c r="G112" s="20" t="str">
        <f t="shared" si="2"/>
        <v/>
      </c>
      <c r="H112" s="18"/>
      <c r="I112" s="5"/>
      <c r="J112" s="21" t="str">
        <f t="shared" si="3"/>
        <v/>
      </c>
      <c r="K112" s="17" t="str">
        <f>IF(I112="","",MATCH($I112,Settings!$F$5:$F$46,0))</f>
        <v/>
      </c>
      <c r="L112" s="18"/>
    </row>
    <row r="113" spans="2:12" x14ac:dyDescent="0.25">
      <c r="B113" s="16"/>
      <c r="C113" s="17" t="str">
        <f>IF(B113="","",IF(AND($B113&gt;=Settings!$C$10,$B113&lt;=Settings!$C$11),"OK","ERROR"))</f>
        <v/>
      </c>
      <c r="D113" s="18"/>
      <c r="E113" s="5"/>
      <c r="F113" s="19"/>
      <c r="G113" s="20" t="str">
        <f t="shared" si="2"/>
        <v/>
      </c>
      <c r="H113" s="18"/>
      <c r="I113" s="5"/>
      <c r="J113" s="21" t="str">
        <f t="shared" si="3"/>
        <v/>
      </c>
      <c r="K113" s="17" t="str">
        <f>IF(I113="","",MATCH($I113,Settings!$F$5:$F$46,0))</f>
        <v/>
      </c>
      <c r="L113" s="18"/>
    </row>
    <row r="114" spans="2:12" x14ac:dyDescent="0.25">
      <c r="B114" s="16"/>
      <c r="C114" s="17" t="str">
        <f>IF(B114="","",IF(AND($B114&gt;=Settings!$C$10,$B114&lt;=Settings!$C$11),"OK","ERROR"))</f>
        <v/>
      </c>
      <c r="D114" s="18"/>
      <c r="E114" s="5"/>
      <c r="F114" s="19"/>
      <c r="G114" s="20" t="str">
        <f t="shared" si="2"/>
        <v/>
      </c>
      <c r="H114" s="18"/>
      <c r="I114" s="5"/>
      <c r="J114" s="21" t="str">
        <f t="shared" si="3"/>
        <v/>
      </c>
      <c r="K114" s="17" t="str">
        <f>IF(I114="","",MATCH($I114,Settings!$F$5:$F$46,0))</f>
        <v/>
      </c>
      <c r="L114" s="18"/>
    </row>
    <row r="115" spans="2:12" x14ac:dyDescent="0.25">
      <c r="B115" s="16"/>
      <c r="C115" s="17" t="str">
        <f>IF(B115="","",IF(AND($B115&gt;=Settings!$C$10,$B115&lt;=Settings!$C$11),"OK","ERROR"))</f>
        <v/>
      </c>
      <c r="D115" s="18"/>
      <c r="E115" s="5"/>
      <c r="F115" s="19"/>
      <c r="G115" s="20" t="str">
        <f t="shared" si="2"/>
        <v/>
      </c>
      <c r="H115" s="18"/>
      <c r="I115" s="5"/>
      <c r="J115" s="21" t="str">
        <f t="shared" si="3"/>
        <v/>
      </c>
      <c r="K115" s="17" t="str">
        <f>IF(I115="","",MATCH($I115,Settings!$F$5:$F$46,0))</f>
        <v/>
      </c>
      <c r="L115" s="18"/>
    </row>
    <row r="116" spans="2:12" x14ac:dyDescent="0.25">
      <c r="B116" s="16"/>
      <c r="C116" s="17" t="str">
        <f>IF(B116="","",IF(AND($B116&gt;=Settings!$C$10,$B116&lt;=Settings!$C$11),"OK","ERROR"))</f>
        <v/>
      </c>
      <c r="D116" s="18"/>
      <c r="E116" s="5"/>
      <c r="F116" s="19"/>
      <c r="G116" s="20" t="str">
        <f t="shared" si="2"/>
        <v/>
      </c>
      <c r="H116" s="18"/>
      <c r="I116" s="5"/>
      <c r="J116" s="21" t="str">
        <f t="shared" si="3"/>
        <v/>
      </c>
      <c r="K116" s="17" t="str">
        <f>IF(I116="","",MATCH($I116,Settings!$F$5:$F$46,0))</f>
        <v/>
      </c>
      <c r="L116" s="18"/>
    </row>
    <row r="117" spans="2:12" x14ac:dyDescent="0.25">
      <c r="B117" s="16"/>
      <c r="C117" s="17" t="str">
        <f>IF(B117="","",IF(AND($B117&gt;=Settings!$C$10,$B117&lt;=Settings!$C$11),"OK","ERROR"))</f>
        <v/>
      </c>
      <c r="D117" s="18"/>
      <c r="E117" s="5"/>
      <c r="F117" s="19"/>
      <c r="G117" s="20" t="str">
        <f t="shared" si="2"/>
        <v/>
      </c>
      <c r="H117" s="18"/>
      <c r="I117" s="5"/>
      <c r="J117" s="21" t="str">
        <f t="shared" si="3"/>
        <v/>
      </c>
      <c r="K117" s="17" t="str">
        <f>IF(I117="","",MATCH($I117,Settings!$F$5:$F$46,0))</f>
        <v/>
      </c>
      <c r="L117" s="18"/>
    </row>
    <row r="118" spans="2:12" x14ac:dyDescent="0.25">
      <c r="B118" s="16"/>
      <c r="C118" s="17" t="str">
        <f>IF(B118="","",IF(AND($B118&gt;=Settings!$C$10,$B118&lt;=Settings!$C$11),"OK","ERROR"))</f>
        <v/>
      </c>
      <c r="D118" s="18"/>
      <c r="E118" s="5"/>
      <c r="F118" s="19"/>
      <c r="G118" s="20" t="str">
        <f t="shared" si="2"/>
        <v/>
      </c>
      <c r="H118" s="18"/>
      <c r="I118" s="5"/>
      <c r="J118" s="21" t="str">
        <f t="shared" si="3"/>
        <v/>
      </c>
      <c r="K118" s="17" t="str">
        <f>IF(I118="","",MATCH($I118,Settings!$F$5:$F$46,0))</f>
        <v/>
      </c>
      <c r="L118" s="18"/>
    </row>
    <row r="119" spans="2:12" x14ac:dyDescent="0.25">
      <c r="B119" s="16"/>
      <c r="C119" s="17" t="str">
        <f>IF(B119="","",IF(AND($B119&gt;=Settings!$C$10,$B119&lt;=Settings!$C$11),"OK","ERROR"))</f>
        <v/>
      </c>
      <c r="D119" s="18"/>
      <c r="E119" s="5"/>
      <c r="F119" s="19"/>
      <c r="G119" s="20" t="str">
        <f t="shared" si="2"/>
        <v/>
      </c>
      <c r="H119" s="18"/>
      <c r="I119" s="5"/>
      <c r="J119" s="21" t="str">
        <f t="shared" si="3"/>
        <v/>
      </c>
      <c r="K119" s="17" t="str">
        <f>IF(I119="","",MATCH($I119,Settings!$F$5:$F$46,0))</f>
        <v/>
      </c>
      <c r="L119" s="18"/>
    </row>
    <row r="120" spans="2:12" x14ac:dyDescent="0.25">
      <c r="B120" s="16"/>
      <c r="C120" s="17" t="str">
        <f>IF(B120="","",IF(AND($B120&gt;=Settings!$C$10,$B120&lt;=Settings!$C$11),"OK","ERROR"))</f>
        <v/>
      </c>
      <c r="D120" s="18"/>
      <c r="E120" s="5"/>
      <c r="F120" s="19"/>
      <c r="G120" s="20" t="str">
        <f t="shared" si="2"/>
        <v/>
      </c>
      <c r="H120" s="18"/>
      <c r="I120" s="5"/>
      <c r="J120" s="21" t="str">
        <f t="shared" si="3"/>
        <v/>
      </c>
      <c r="K120" s="17" t="str">
        <f>IF(I120="","",MATCH($I120,Settings!$F$5:$F$46,0))</f>
        <v/>
      </c>
      <c r="L120" s="18"/>
    </row>
    <row r="121" spans="2:12" x14ac:dyDescent="0.25">
      <c r="B121" s="16"/>
      <c r="C121" s="17" t="str">
        <f>IF(B121="","",IF(AND($B121&gt;=Settings!$C$10,$B121&lt;=Settings!$C$11),"OK","ERROR"))</f>
        <v/>
      </c>
      <c r="D121" s="18"/>
      <c r="E121" s="5"/>
      <c r="F121" s="19"/>
      <c r="G121" s="20" t="str">
        <f t="shared" si="2"/>
        <v/>
      </c>
      <c r="H121" s="18"/>
      <c r="I121" s="5"/>
      <c r="J121" s="21" t="str">
        <f t="shared" si="3"/>
        <v/>
      </c>
      <c r="K121" s="17" t="str">
        <f>IF(I121="","",MATCH($I121,Settings!$F$5:$F$46,0))</f>
        <v/>
      </c>
      <c r="L121" s="18"/>
    </row>
    <row r="122" spans="2:12" x14ac:dyDescent="0.25">
      <c r="B122" s="16"/>
      <c r="C122" s="17" t="str">
        <f>IF(B122="","",IF(AND($B122&gt;=Settings!$C$10,$B122&lt;=Settings!$C$11),"OK","ERROR"))</f>
        <v/>
      </c>
      <c r="D122" s="18"/>
      <c r="E122" s="5"/>
      <c r="F122" s="19"/>
      <c r="G122" s="20" t="str">
        <f t="shared" si="2"/>
        <v/>
      </c>
      <c r="H122" s="18"/>
      <c r="I122" s="5"/>
      <c r="J122" s="21" t="str">
        <f t="shared" si="3"/>
        <v/>
      </c>
      <c r="K122" s="17" t="str">
        <f>IF(I122="","",MATCH($I122,Settings!$F$5:$F$46,0))</f>
        <v/>
      </c>
      <c r="L122" s="18"/>
    </row>
    <row r="123" spans="2:12" x14ac:dyDescent="0.25">
      <c r="B123" s="16"/>
      <c r="C123" s="17" t="str">
        <f>IF(B123="","",IF(AND($B123&gt;=Settings!$C$10,$B123&lt;=Settings!$C$11),"OK","ERROR"))</f>
        <v/>
      </c>
      <c r="D123" s="18"/>
      <c r="E123" s="5"/>
      <c r="F123" s="19"/>
      <c r="G123" s="20" t="str">
        <f t="shared" si="2"/>
        <v/>
      </c>
      <c r="H123" s="18"/>
      <c r="I123" s="5"/>
      <c r="J123" s="21" t="str">
        <f t="shared" si="3"/>
        <v/>
      </c>
      <c r="K123" s="17" t="str">
        <f>IF(I123="","",MATCH($I123,Settings!$F$5:$F$46,0))</f>
        <v/>
      </c>
      <c r="L123" s="18"/>
    </row>
    <row r="124" spans="2:12" x14ac:dyDescent="0.25">
      <c r="B124" s="16"/>
      <c r="C124" s="17" t="str">
        <f>IF(B124="","",IF(AND($B124&gt;=Settings!$C$10,$B124&lt;=Settings!$C$11),"OK","ERROR"))</f>
        <v/>
      </c>
      <c r="D124" s="18"/>
      <c r="E124" s="5"/>
      <c r="F124" s="19"/>
      <c r="G124" s="20" t="str">
        <f t="shared" si="2"/>
        <v/>
      </c>
      <c r="H124" s="18"/>
      <c r="I124" s="5"/>
      <c r="J124" s="21" t="str">
        <f t="shared" si="3"/>
        <v/>
      </c>
      <c r="K124" s="17" t="str">
        <f>IF(I124="","",MATCH($I124,Settings!$F$5:$F$46,0))</f>
        <v/>
      </c>
      <c r="L124" s="18"/>
    </row>
    <row r="125" spans="2:12" x14ac:dyDescent="0.25">
      <c r="B125" s="16"/>
      <c r="C125" s="17" t="str">
        <f>IF(B125="","",IF(AND($B125&gt;=Settings!$C$10,$B125&lt;=Settings!$C$11),"OK","ERROR"))</f>
        <v/>
      </c>
      <c r="D125" s="18"/>
      <c r="E125" s="5"/>
      <c r="F125" s="19"/>
      <c r="G125" s="20" t="str">
        <f t="shared" si="2"/>
        <v/>
      </c>
      <c r="H125" s="18"/>
      <c r="I125" s="5"/>
      <c r="J125" s="21" t="str">
        <f t="shared" si="3"/>
        <v/>
      </c>
      <c r="K125" s="17" t="str">
        <f>IF(I125="","",MATCH($I125,Settings!$F$5:$F$46,0))</f>
        <v/>
      </c>
      <c r="L125" s="18"/>
    </row>
    <row r="126" spans="2:12" x14ac:dyDescent="0.25">
      <c r="B126" s="16"/>
      <c r="C126" s="17" t="str">
        <f>IF(B126="","",IF(AND($B126&gt;=Settings!$C$10,$B126&lt;=Settings!$C$11),"OK","ERROR"))</f>
        <v/>
      </c>
      <c r="D126" s="18"/>
      <c r="E126" s="5"/>
      <c r="F126" s="19"/>
      <c r="G126" s="20" t="str">
        <f t="shared" si="2"/>
        <v/>
      </c>
      <c r="H126" s="18"/>
      <c r="I126" s="5"/>
      <c r="J126" s="21" t="str">
        <f t="shared" si="3"/>
        <v/>
      </c>
      <c r="K126" s="17" t="str">
        <f>IF(I126="","",MATCH($I126,Settings!$F$5:$F$46,0))</f>
        <v/>
      </c>
      <c r="L126" s="18"/>
    </row>
    <row r="127" spans="2:12" x14ac:dyDescent="0.25">
      <c r="B127" s="16"/>
      <c r="C127" s="17" t="str">
        <f>IF(B127="","",IF(AND($B127&gt;=Settings!$C$10,$B127&lt;=Settings!$C$11),"OK","ERROR"))</f>
        <v/>
      </c>
      <c r="D127" s="18"/>
      <c r="E127" s="5"/>
      <c r="F127" s="19"/>
      <c r="G127" s="20" t="str">
        <f t="shared" si="2"/>
        <v/>
      </c>
      <c r="H127" s="18"/>
      <c r="I127" s="5"/>
      <c r="J127" s="21" t="str">
        <f t="shared" si="3"/>
        <v/>
      </c>
      <c r="K127" s="17" t="str">
        <f>IF(I127="","",MATCH($I127,Settings!$F$5:$F$46,0))</f>
        <v/>
      </c>
      <c r="L127" s="18"/>
    </row>
    <row r="128" spans="2:12" x14ac:dyDescent="0.25">
      <c r="B128" s="16"/>
      <c r="C128" s="17" t="str">
        <f>IF(B128="","",IF(AND($B128&gt;=Settings!$C$10,$B128&lt;=Settings!$C$11),"OK","ERROR"))</f>
        <v/>
      </c>
      <c r="D128" s="18"/>
      <c r="E128" s="5"/>
      <c r="F128" s="19"/>
      <c r="G128" s="20" t="str">
        <f t="shared" si="2"/>
        <v/>
      </c>
      <c r="H128" s="18"/>
      <c r="I128" s="5"/>
      <c r="J128" s="21" t="str">
        <f t="shared" si="3"/>
        <v/>
      </c>
      <c r="K128" s="17" t="str">
        <f>IF(I128="","",MATCH($I128,Settings!$F$5:$F$46,0))</f>
        <v/>
      </c>
      <c r="L128" s="18"/>
    </row>
    <row r="129" spans="2:12" x14ac:dyDescent="0.25">
      <c r="B129" s="16"/>
      <c r="C129" s="17" t="str">
        <f>IF(B129="","",IF(AND($B129&gt;=Settings!$C$10,$B129&lt;=Settings!$C$11),"OK","ERROR"))</f>
        <v/>
      </c>
      <c r="D129" s="18"/>
      <c r="E129" s="5"/>
      <c r="F129" s="19"/>
      <c r="G129" s="20" t="str">
        <f t="shared" si="2"/>
        <v/>
      </c>
      <c r="H129" s="18"/>
      <c r="I129" s="5"/>
      <c r="J129" s="21" t="str">
        <f t="shared" si="3"/>
        <v/>
      </c>
      <c r="K129" s="17" t="str">
        <f>IF(I129="","",MATCH($I129,Settings!$F$5:$F$46,0))</f>
        <v/>
      </c>
      <c r="L129" s="18"/>
    </row>
    <row r="130" spans="2:12" x14ac:dyDescent="0.25">
      <c r="B130" s="16"/>
      <c r="C130" s="17" t="str">
        <f>IF(B130="","",IF(AND($B130&gt;=Settings!$C$10,$B130&lt;=Settings!$C$11),"OK","ERROR"))</f>
        <v/>
      </c>
      <c r="D130" s="18"/>
      <c r="E130" s="5"/>
      <c r="F130" s="19"/>
      <c r="G130" s="20" t="str">
        <f t="shared" si="2"/>
        <v/>
      </c>
      <c r="H130" s="18"/>
      <c r="I130" s="5"/>
      <c r="J130" s="21" t="str">
        <f t="shared" si="3"/>
        <v/>
      </c>
      <c r="K130" s="17" t="str">
        <f>IF(I130="","",MATCH($I130,Settings!$F$5:$F$46,0))</f>
        <v/>
      </c>
      <c r="L130" s="18"/>
    </row>
    <row r="131" spans="2:12" x14ac:dyDescent="0.25">
      <c r="B131" s="16"/>
      <c r="C131" s="17" t="str">
        <f>IF(B131="","",IF(AND($B131&gt;=Settings!$C$10,$B131&lt;=Settings!$C$11),"OK","ERROR"))</f>
        <v/>
      </c>
      <c r="D131" s="18"/>
      <c r="E131" s="5"/>
      <c r="F131" s="19"/>
      <c r="G131" s="20" t="str">
        <f t="shared" si="2"/>
        <v/>
      </c>
      <c r="H131" s="18"/>
      <c r="I131" s="5"/>
      <c r="J131" s="21" t="str">
        <f t="shared" si="3"/>
        <v/>
      </c>
      <c r="K131" s="17" t="str">
        <f>IF(I131="","",MATCH($I131,Settings!$F$5:$F$46,0))</f>
        <v/>
      </c>
      <c r="L131" s="18"/>
    </row>
    <row r="132" spans="2:12" x14ac:dyDescent="0.25">
      <c r="B132" s="16"/>
      <c r="C132" s="17" t="str">
        <f>IF(B132="","",IF(AND($B132&gt;=Settings!$C$10,$B132&lt;=Settings!$C$11),"OK","ERROR"))</f>
        <v/>
      </c>
      <c r="D132" s="18"/>
      <c r="E132" s="5"/>
      <c r="F132" s="19"/>
      <c r="G132" s="20" t="str">
        <f t="shared" si="2"/>
        <v/>
      </c>
      <c r="H132" s="18"/>
      <c r="I132" s="5"/>
      <c r="J132" s="21" t="str">
        <f t="shared" si="3"/>
        <v/>
      </c>
      <c r="K132" s="17" t="str">
        <f>IF(I132="","",MATCH($I132,Settings!$F$5:$F$46,0))</f>
        <v/>
      </c>
      <c r="L132" s="18"/>
    </row>
    <row r="133" spans="2:12" x14ac:dyDescent="0.25">
      <c r="B133" s="16"/>
      <c r="C133" s="17" t="str">
        <f>IF(B133="","",IF(AND($B133&gt;=Settings!$C$10,$B133&lt;=Settings!$C$11),"OK","ERROR"))</f>
        <v/>
      </c>
      <c r="D133" s="18"/>
      <c r="E133" s="5"/>
      <c r="F133" s="19"/>
      <c r="G133" s="20" t="str">
        <f t="shared" si="2"/>
        <v/>
      </c>
      <c r="H133" s="18"/>
      <c r="I133" s="5"/>
      <c r="J133" s="21" t="str">
        <f t="shared" si="3"/>
        <v/>
      </c>
      <c r="K133" s="17" t="str">
        <f>IF(I133="","",MATCH($I133,Settings!$F$5:$F$46,0))</f>
        <v/>
      </c>
      <c r="L133" s="18"/>
    </row>
    <row r="134" spans="2:12" x14ac:dyDescent="0.25">
      <c r="B134" s="16"/>
      <c r="C134" s="17" t="str">
        <f>IF(B134="","",IF(AND($B134&gt;=Settings!$C$10,$B134&lt;=Settings!$C$11),"OK","ERROR"))</f>
        <v/>
      </c>
      <c r="D134" s="18"/>
      <c r="E134" s="5"/>
      <c r="F134" s="19"/>
      <c r="G134" s="20" t="str">
        <f t="shared" ref="G134:G197" si="4">IF(F134="","",IF(I134&lt;&gt;"","OK","ERROR"))</f>
        <v/>
      </c>
      <c r="H134" s="18"/>
      <c r="I134" s="5"/>
      <c r="J134" s="21" t="str">
        <f t="shared" si="3"/>
        <v/>
      </c>
      <c r="K134" s="17" t="str">
        <f>IF(I134="","",MATCH($I134,Settings!$F$5:$F$46,0))</f>
        <v/>
      </c>
      <c r="L134" s="18"/>
    </row>
    <row r="135" spans="2:12" x14ac:dyDescent="0.25">
      <c r="B135" s="16"/>
      <c r="C135" s="17" t="str">
        <f>IF(B135="","",IF(AND($B135&gt;=Settings!$C$10,$B135&lt;=Settings!$C$11),"OK","ERROR"))</f>
        <v/>
      </c>
      <c r="D135" s="18"/>
      <c r="E135" s="5"/>
      <c r="F135" s="19"/>
      <c r="G135" s="20" t="str">
        <f t="shared" si="4"/>
        <v/>
      </c>
      <c r="H135" s="18"/>
      <c r="I135" s="5"/>
      <c r="J135" s="21" t="str">
        <f t="shared" ref="J135:J198" si="5">IF(I135="","",IF(ISERROR($K135)=TRUE,"ERROR","OK"))</f>
        <v/>
      </c>
      <c r="K135" s="17" t="str">
        <f>IF(I135="","",MATCH($I135,Settings!$F$5:$F$46,0))</f>
        <v/>
      </c>
      <c r="L135" s="18"/>
    </row>
    <row r="136" spans="2:12" x14ac:dyDescent="0.25">
      <c r="B136" s="16"/>
      <c r="C136" s="17" t="str">
        <f>IF(B136="","",IF(AND($B136&gt;=Settings!$C$10,$B136&lt;=Settings!$C$11),"OK","ERROR"))</f>
        <v/>
      </c>
      <c r="D136" s="18"/>
      <c r="E136" s="5"/>
      <c r="F136" s="19"/>
      <c r="G136" s="20" t="str">
        <f t="shared" si="4"/>
        <v/>
      </c>
      <c r="H136" s="18"/>
      <c r="I136" s="5"/>
      <c r="J136" s="21" t="str">
        <f t="shared" si="5"/>
        <v/>
      </c>
      <c r="K136" s="17" t="str">
        <f>IF(I136="","",MATCH($I136,Settings!$F$5:$F$46,0))</f>
        <v/>
      </c>
      <c r="L136" s="18"/>
    </row>
    <row r="137" spans="2:12" x14ac:dyDescent="0.25">
      <c r="B137" s="16"/>
      <c r="C137" s="17" t="str">
        <f>IF(B137="","",IF(AND($B137&gt;=Settings!$C$10,$B137&lt;=Settings!$C$11),"OK","ERROR"))</f>
        <v/>
      </c>
      <c r="D137" s="18"/>
      <c r="E137" s="5"/>
      <c r="F137" s="19"/>
      <c r="G137" s="20" t="str">
        <f t="shared" si="4"/>
        <v/>
      </c>
      <c r="H137" s="18"/>
      <c r="I137" s="5"/>
      <c r="J137" s="21" t="str">
        <f t="shared" si="5"/>
        <v/>
      </c>
      <c r="K137" s="17" t="str">
        <f>IF(I137="","",MATCH($I137,Settings!$F$5:$F$46,0))</f>
        <v/>
      </c>
      <c r="L137" s="18"/>
    </row>
    <row r="138" spans="2:12" x14ac:dyDescent="0.25">
      <c r="B138" s="16"/>
      <c r="C138" s="17" t="str">
        <f>IF(B138="","",IF(AND($B138&gt;=Settings!$C$10,$B138&lt;=Settings!$C$11),"OK","ERROR"))</f>
        <v/>
      </c>
      <c r="D138" s="18"/>
      <c r="E138" s="5"/>
      <c r="F138" s="19"/>
      <c r="G138" s="20" t="str">
        <f t="shared" si="4"/>
        <v/>
      </c>
      <c r="H138" s="18"/>
      <c r="I138" s="5"/>
      <c r="J138" s="21" t="str">
        <f t="shared" si="5"/>
        <v/>
      </c>
      <c r="K138" s="17" t="str">
        <f>IF(I138="","",MATCH($I138,Settings!$F$5:$F$46,0))</f>
        <v/>
      </c>
      <c r="L138" s="18"/>
    </row>
    <row r="139" spans="2:12" x14ac:dyDescent="0.25">
      <c r="B139" s="16"/>
      <c r="C139" s="17" t="str">
        <f>IF(B139="","",IF(AND($B139&gt;=Settings!$C$10,$B139&lt;=Settings!$C$11),"OK","ERROR"))</f>
        <v/>
      </c>
      <c r="D139" s="18"/>
      <c r="E139" s="5"/>
      <c r="F139" s="19"/>
      <c r="G139" s="20" t="str">
        <f t="shared" si="4"/>
        <v/>
      </c>
      <c r="H139" s="18"/>
      <c r="I139" s="5"/>
      <c r="J139" s="21" t="str">
        <f t="shared" si="5"/>
        <v/>
      </c>
      <c r="K139" s="17" t="str">
        <f>IF(I139="","",MATCH($I139,Settings!$F$5:$F$46,0))</f>
        <v/>
      </c>
      <c r="L139" s="18"/>
    </row>
    <row r="140" spans="2:12" x14ac:dyDescent="0.25">
      <c r="B140" s="16"/>
      <c r="C140" s="17" t="str">
        <f>IF(B140="","",IF(AND($B140&gt;=Settings!$C$10,$B140&lt;=Settings!$C$11),"OK","ERROR"))</f>
        <v/>
      </c>
      <c r="D140" s="18"/>
      <c r="E140" s="5"/>
      <c r="F140" s="19"/>
      <c r="G140" s="20" t="str">
        <f t="shared" si="4"/>
        <v/>
      </c>
      <c r="H140" s="18"/>
      <c r="I140" s="5"/>
      <c r="J140" s="21" t="str">
        <f t="shared" si="5"/>
        <v/>
      </c>
      <c r="K140" s="17" t="str">
        <f>IF(I140="","",MATCH($I140,Settings!$F$5:$F$46,0))</f>
        <v/>
      </c>
      <c r="L140" s="18"/>
    </row>
    <row r="141" spans="2:12" x14ac:dyDescent="0.25">
      <c r="B141" s="16"/>
      <c r="C141" s="17" t="str">
        <f>IF(B141="","",IF(AND($B141&gt;=Settings!$C$10,$B141&lt;=Settings!$C$11),"OK","ERROR"))</f>
        <v/>
      </c>
      <c r="D141" s="18"/>
      <c r="E141" s="5"/>
      <c r="F141" s="19"/>
      <c r="G141" s="20" t="str">
        <f t="shared" si="4"/>
        <v/>
      </c>
      <c r="H141" s="18"/>
      <c r="I141" s="5"/>
      <c r="J141" s="21" t="str">
        <f t="shared" si="5"/>
        <v/>
      </c>
      <c r="K141" s="17" t="str">
        <f>IF(I141="","",MATCH($I141,Settings!$F$5:$F$46,0))</f>
        <v/>
      </c>
      <c r="L141" s="18"/>
    </row>
    <row r="142" spans="2:12" x14ac:dyDescent="0.25">
      <c r="B142" s="16"/>
      <c r="C142" s="17" t="str">
        <f>IF(B142="","",IF(AND($B142&gt;=Settings!$C$10,$B142&lt;=Settings!$C$11),"OK","ERROR"))</f>
        <v/>
      </c>
      <c r="D142" s="18"/>
      <c r="E142" s="5"/>
      <c r="F142" s="19"/>
      <c r="G142" s="20" t="str">
        <f t="shared" si="4"/>
        <v/>
      </c>
      <c r="H142" s="18"/>
      <c r="I142" s="5"/>
      <c r="J142" s="21" t="str">
        <f t="shared" si="5"/>
        <v/>
      </c>
      <c r="K142" s="17" t="str">
        <f>IF(I142="","",MATCH($I142,Settings!$F$5:$F$46,0))</f>
        <v/>
      </c>
      <c r="L142" s="18"/>
    </row>
    <row r="143" spans="2:12" x14ac:dyDescent="0.25">
      <c r="B143" s="16"/>
      <c r="C143" s="17" t="str">
        <f>IF(B143="","",IF(AND($B143&gt;=Settings!$C$10,$B143&lt;=Settings!$C$11),"OK","ERROR"))</f>
        <v/>
      </c>
      <c r="D143" s="18"/>
      <c r="E143" s="5"/>
      <c r="F143" s="19"/>
      <c r="G143" s="20" t="str">
        <f t="shared" si="4"/>
        <v/>
      </c>
      <c r="H143" s="18"/>
      <c r="I143" s="5"/>
      <c r="J143" s="21" t="str">
        <f t="shared" si="5"/>
        <v/>
      </c>
      <c r="K143" s="17" t="str">
        <f>IF(I143="","",MATCH($I143,Settings!$F$5:$F$46,0))</f>
        <v/>
      </c>
      <c r="L143" s="18"/>
    </row>
    <row r="144" spans="2:12" x14ac:dyDescent="0.25">
      <c r="B144" s="16"/>
      <c r="C144" s="17" t="str">
        <f>IF(B144="","",IF(AND($B144&gt;=Settings!$C$10,$B144&lt;=Settings!$C$11),"OK","ERROR"))</f>
        <v/>
      </c>
      <c r="D144" s="18"/>
      <c r="E144" s="5"/>
      <c r="F144" s="19"/>
      <c r="G144" s="20" t="str">
        <f t="shared" si="4"/>
        <v/>
      </c>
      <c r="H144" s="18"/>
      <c r="I144" s="5"/>
      <c r="J144" s="21" t="str">
        <f t="shared" si="5"/>
        <v/>
      </c>
      <c r="K144" s="17" t="str">
        <f>IF(I144="","",MATCH($I144,Settings!$F$5:$F$46,0))</f>
        <v/>
      </c>
      <c r="L144" s="18"/>
    </row>
    <row r="145" spans="2:12" x14ac:dyDescent="0.25">
      <c r="B145" s="16"/>
      <c r="C145" s="17" t="str">
        <f>IF(B145="","",IF(AND($B145&gt;=Settings!$C$10,$B145&lt;=Settings!$C$11),"OK","ERROR"))</f>
        <v/>
      </c>
      <c r="D145" s="18"/>
      <c r="E145" s="5"/>
      <c r="F145" s="19"/>
      <c r="G145" s="20" t="str">
        <f t="shared" si="4"/>
        <v/>
      </c>
      <c r="H145" s="18"/>
      <c r="I145" s="5"/>
      <c r="J145" s="21" t="str">
        <f t="shared" si="5"/>
        <v/>
      </c>
      <c r="K145" s="17" t="str">
        <f>IF(I145="","",MATCH($I145,Settings!$F$5:$F$46,0))</f>
        <v/>
      </c>
      <c r="L145" s="18"/>
    </row>
    <row r="146" spans="2:12" x14ac:dyDescent="0.25">
      <c r="B146" s="16"/>
      <c r="C146" s="17" t="str">
        <f>IF(B146="","",IF(AND($B146&gt;=Settings!$C$10,$B146&lt;=Settings!$C$11),"OK","ERROR"))</f>
        <v/>
      </c>
      <c r="D146" s="18"/>
      <c r="E146" s="5"/>
      <c r="F146" s="19"/>
      <c r="G146" s="20" t="str">
        <f t="shared" si="4"/>
        <v/>
      </c>
      <c r="H146" s="18"/>
      <c r="I146" s="5"/>
      <c r="J146" s="21" t="str">
        <f t="shared" si="5"/>
        <v/>
      </c>
      <c r="K146" s="17" t="str">
        <f>IF(I146="","",MATCH($I146,Settings!$F$5:$F$46,0))</f>
        <v/>
      </c>
      <c r="L146" s="18"/>
    </row>
    <row r="147" spans="2:12" x14ac:dyDescent="0.25">
      <c r="B147" s="16"/>
      <c r="C147" s="17" t="str">
        <f>IF(B147="","",IF(AND($B147&gt;=Settings!$C$10,$B147&lt;=Settings!$C$11),"OK","ERROR"))</f>
        <v/>
      </c>
      <c r="D147" s="18"/>
      <c r="E147" s="5"/>
      <c r="F147" s="19"/>
      <c r="G147" s="20" t="str">
        <f t="shared" si="4"/>
        <v/>
      </c>
      <c r="H147" s="18"/>
      <c r="I147" s="5"/>
      <c r="J147" s="21" t="str">
        <f t="shared" si="5"/>
        <v/>
      </c>
      <c r="K147" s="17" t="str">
        <f>IF(I147="","",MATCH($I147,Settings!$F$5:$F$46,0))</f>
        <v/>
      </c>
      <c r="L147" s="18"/>
    </row>
    <row r="148" spans="2:12" x14ac:dyDescent="0.25">
      <c r="B148" s="16"/>
      <c r="C148" s="17" t="str">
        <f>IF(B148="","",IF(AND($B148&gt;=Settings!$C$10,$B148&lt;=Settings!$C$11),"OK","ERROR"))</f>
        <v/>
      </c>
      <c r="D148" s="18"/>
      <c r="E148" s="5"/>
      <c r="F148" s="19"/>
      <c r="G148" s="20" t="str">
        <f t="shared" si="4"/>
        <v/>
      </c>
      <c r="H148" s="18"/>
      <c r="I148" s="5"/>
      <c r="J148" s="21" t="str">
        <f t="shared" si="5"/>
        <v/>
      </c>
      <c r="K148" s="17" t="str">
        <f>IF(I148="","",MATCH($I148,Settings!$F$5:$F$46,0))</f>
        <v/>
      </c>
      <c r="L148" s="18"/>
    </row>
    <row r="149" spans="2:12" x14ac:dyDescent="0.25">
      <c r="B149" s="16"/>
      <c r="C149" s="17" t="str">
        <f>IF(B149="","",IF(AND($B149&gt;=Settings!$C$10,$B149&lt;=Settings!$C$11),"OK","ERROR"))</f>
        <v/>
      </c>
      <c r="D149" s="18"/>
      <c r="E149" s="5"/>
      <c r="F149" s="19"/>
      <c r="G149" s="20" t="str">
        <f t="shared" si="4"/>
        <v/>
      </c>
      <c r="H149" s="18"/>
      <c r="I149" s="5"/>
      <c r="J149" s="21" t="str">
        <f t="shared" si="5"/>
        <v/>
      </c>
      <c r="K149" s="17" t="str">
        <f>IF(I149="","",MATCH($I149,Settings!$F$5:$F$46,0))</f>
        <v/>
      </c>
      <c r="L149" s="18"/>
    </row>
    <row r="150" spans="2:12" x14ac:dyDescent="0.25">
      <c r="B150" s="16"/>
      <c r="C150" s="17" t="str">
        <f>IF(B150="","",IF(AND($B150&gt;=Settings!$C$10,$B150&lt;=Settings!$C$11),"OK","ERROR"))</f>
        <v/>
      </c>
      <c r="D150" s="18"/>
      <c r="E150" s="5"/>
      <c r="F150" s="19"/>
      <c r="G150" s="20" t="str">
        <f t="shared" si="4"/>
        <v/>
      </c>
      <c r="H150" s="18"/>
      <c r="I150" s="5"/>
      <c r="J150" s="21" t="str">
        <f t="shared" si="5"/>
        <v/>
      </c>
      <c r="K150" s="17" t="str">
        <f>IF(I150="","",MATCH($I150,Settings!$F$5:$F$46,0))</f>
        <v/>
      </c>
      <c r="L150" s="18"/>
    </row>
    <row r="151" spans="2:12" x14ac:dyDescent="0.25">
      <c r="B151" s="16"/>
      <c r="C151" s="17" t="str">
        <f>IF(B151="","",IF(AND($B151&gt;=Settings!$C$10,$B151&lt;=Settings!$C$11),"OK","ERROR"))</f>
        <v/>
      </c>
      <c r="D151" s="18"/>
      <c r="E151" s="5"/>
      <c r="F151" s="19"/>
      <c r="G151" s="20" t="str">
        <f t="shared" si="4"/>
        <v/>
      </c>
      <c r="H151" s="18"/>
      <c r="I151" s="5"/>
      <c r="J151" s="21" t="str">
        <f t="shared" si="5"/>
        <v/>
      </c>
      <c r="K151" s="17" t="str">
        <f>IF(I151="","",MATCH($I151,Settings!$F$5:$F$46,0))</f>
        <v/>
      </c>
      <c r="L151" s="18"/>
    </row>
    <row r="152" spans="2:12" x14ac:dyDescent="0.25">
      <c r="B152" s="16"/>
      <c r="C152" s="17" t="str">
        <f>IF(B152="","",IF(AND($B152&gt;=Settings!$C$10,$B152&lt;=Settings!$C$11),"OK","ERROR"))</f>
        <v/>
      </c>
      <c r="D152" s="18"/>
      <c r="E152" s="5"/>
      <c r="F152" s="19"/>
      <c r="G152" s="20" t="str">
        <f t="shared" si="4"/>
        <v/>
      </c>
      <c r="H152" s="18"/>
      <c r="I152" s="5"/>
      <c r="J152" s="21" t="str">
        <f t="shared" si="5"/>
        <v/>
      </c>
      <c r="K152" s="17" t="str">
        <f>IF(I152="","",MATCH($I152,Settings!$F$5:$F$46,0))</f>
        <v/>
      </c>
      <c r="L152" s="18"/>
    </row>
    <row r="153" spans="2:12" x14ac:dyDescent="0.25">
      <c r="B153" s="16"/>
      <c r="C153" s="17" t="str">
        <f>IF(B153="","",IF(AND($B153&gt;=Settings!$C$10,$B153&lt;=Settings!$C$11),"OK","ERROR"))</f>
        <v/>
      </c>
      <c r="D153" s="18"/>
      <c r="E153" s="5"/>
      <c r="F153" s="19"/>
      <c r="G153" s="20" t="str">
        <f t="shared" si="4"/>
        <v/>
      </c>
      <c r="H153" s="18"/>
      <c r="I153" s="5"/>
      <c r="J153" s="21" t="str">
        <f t="shared" si="5"/>
        <v/>
      </c>
      <c r="K153" s="17" t="str">
        <f>IF(I153="","",MATCH($I153,Settings!$F$5:$F$46,0))</f>
        <v/>
      </c>
      <c r="L153" s="18"/>
    </row>
    <row r="154" spans="2:12" x14ac:dyDescent="0.25">
      <c r="B154" s="16"/>
      <c r="C154" s="17" t="str">
        <f>IF(B154="","",IF(AND($B154&gt;=Settings!$C$10,$B154&lt;=Settings!$C$11),"OK","ERROR"))</f>
        <v/>
      </c>
      <c r="D154" s="18"/>
      <c r="E154" s="5"/>
      <c r="F154" s="19"/>
      <c r="G154" s="20" t="str">
        <f t="shared" si="4"/>
        <v/>
      </c>
      <c r="H154" s="18"/>
      <c r="I154" s="5"/>
      <c r="J154" s="21" t="str">
        <f t="shared" si="5"/>
        <v/>
      </c>
      <c r="K154" s="17" t="str">
        <f>IF(I154="","",MATCH($I154,Settings!$F$5:$F$46,0))</f>
        <v/>
      </c>
      <c r="L154" s="18"/>
    </row>
    <row r="155" spans="2:12" x14ac:dyDescent="0.25">
      <c r="B155" s="16"/>
      <c r="C155" s="17" t="str">
        <f>IF(B155="","",IF(AND($B155&gt;=Settings!$C$10,$B155&lt;=Settings!$C$11),"OK","ERROR"))</f>
        <v/>
      </c>
      <c r="D155" s="18"/>
      <c r="E155" s="5"/>
      <c r="F155" s="19"/>
      <c r="G155" s="20" t="str">
        <f t="shared" si="4"/>
        <v/>
      </c>
      <c r="H155" s="18"/>
      <c r="I155" s="5"/>
      <c r="J155" s="21" t="str">
        <f t="shared" si="5"/>
        <v/>
      </c>
      <c r="K155" s="17" t="str">
        <f>IF(I155="","",MATCH($I155,Settings!$F$5:$F$46,0))</f>
        <v/>
      </c>
      <c r="L155" s="18"/>
    </row>
    <row r="156" spans="2:12" x14ac:dyDescent="0.25">
      <c r="B156" s="16"/>
      <c r="C156" s="17" t="str">
        <f>IF(B156="","",IF(AND($B156&gt;=Settings!$C$10,$B156&lt;=Settings!$C$11),"OK","ERROR"))</f>
        <v/>
      </c>
      <c r="D156" s="18"/>
      <c r="E156" s="5"/>
      <c r="F156" s="19"/>
      <c r="G156" s="20" t="str">
        <f t="shared" si="4"/>
        <v/>
      </c>
      <c r="H156" s="18"/>
      <c r="I156" s="5"/>
      <c r="J156" s="21" t="str">
        <f t="shared" si="5"/>
        <v/>
      </c>
      <c r="K156" s="17" t="str">
        <f>IF(I156="","",MATCH($I156,Settings!$F$5:$F$46,0))</f>
        <v/>
      </c>
      <c r="L156" s="18"/>
    </row>
    <row r="157" spans="2:12" x14ac:dyDescent="0.25">
      <c r="B157" s="16"/>
      <c r="C157" s="17" t="str">
        <f>IF(B157="","",IF(AND($B157&gt;=Settings!$C$10,$B157&lt;=Settings!$C$11),"OK","ERROR"))</f>
        <v/>
      </c>
      <c r="D157" s="18"/>
      <c r="E157" s="5"/>
      <c r="F157" s="19"/>
      <c r="G157" s="20" t="str">
        <f t="shared" si="4"/>
        <v/>
      </c>
      <c r="H157" s="18"/>
      <c r="I157" s="5"/>
      <c r="J157" s="21" t="str">
        <f t="shared" si="5"/>
        <v/>
      </c>
      <c r="K157" s="17" t="str">
        <f>IF(I157="","",MATCH($I157,Settings!$F$5:$F$46,0))</f>
        <v/>
      </c>
      <c r="L157" s="18"/>
    </row>
    <row r="158" spans="2:12" x14ac:dyDescent="0.25">
      <c r="B158" s="16"/>
      <c r="C158" s="17" t="str">
        <f>IF(B158="","",IF(AND($B158&gt;=Settings!$C$10,$B158&lt;=Settings!$C$11),"OK","ERROR"))</f>
        <v/>
      </c>
      <c r="D158" s="18"/>
      <c r="E158" s="5"/>
      <c r="F158" s="19"/>
      <c r="G158" s="20" t="str">
        <f t="shared" si="4"/>
        <v/>
      </c>
      <c r="H158" s="18"/>
      <c r="I158" s="5"/>
      <c r="J158" s="21" t="str">
        <f t="shared" si="5"/>
        <v/>
      </c>
      <c r="K158" s="17" t="str">
        <f>IF(I158="","",MATCH($I158,Settings!$F$5:$F$46,0))</f>
        <v/>
      </c>
      <c r="L158" s="18"/>
    </row>
    <row r="159" spans="2:12" x14ac:dyDescent="0.25">
      <c r="B159" s="16"/>
      <c r="C159" s="17" t="str">
        <f>IF(B159="","",IF(AND($B159&gt;=Settings!$C$10,$B159&lt;=Settings!$C$11),"OK","ERROR"))</f>
        <v/>
      </c>
      <c r="D159" s="18"/>
      <c r="E159" s="5"/>
      <c r="F159" s="19"/>
      <c r="G159" s="20" t="str">
        <f t="shared" si="4"/>
        <v/>
      </c>
      <c r="H159" s="18"/>
      <c r="I159" s="5"/>
      <c r="J159" s="21" t="str">
        <f t="shared" si="5"/>
        <v/>
      </c>
      <c r="K159" s="17" t="str">
        <f>IF(I159="","",MATCH($I159,Settings!$F$5:$F$46,0))</f>
        <v/>
      </c>
      <c r="L159" s="18"/>
    </row>
    <row r="160" spans="2:12" x14ac:dyDescent="0.25">
      <c r="B160" s="16"/>
      <c r="C160" s="17" t="str">
        <f>IF(B160="","",IF(AND($B160&gt;=Settings!$C$10,$B160&lt;=Settings!$C$11),"OK","ERROR"))</f>
        <v/>
      </c>
      <c r="D160" s="18"/>
      <c r="E160" s="5"/>
      <c r="F160" s="19"/>
      <c r="G160" s="20" t="str">
        <f t="shared" si="4"/>
        <v/>
      </c>
      <c r="H160" s="18"/>
      <c r="I160" s="5"/>
      <c r="J160" s="21" t="str">
        <f t="shared" si="5"/>
        <v/>
      </c>
      <c r="K160" s="17" t="str">
        <f>IF(I160="","",MATCH($I160,Settings!$F$5:$F$46,0))</f>
        <v/>
      </c>
      <c r="L160" s="18"/>
    </row>
    <row r="161" spans="2:12" x14ac:dyDescent="0.25">
      <c r="B161" s="16"/>
      <c r="C161" s="17" t="str">
        <f>IF(B161="","",IF(AND($B161&gt;=Settings!$C$10,$B161&lt;=Settings!$C$11),"OK","ERROR"))</f>
        <v/>
      </c>
      <c r="D161" s="18"/>
      <c r="E161" s="5"/>
      <c r="F161" s="19"/>
      <c r="G161" s="20" t="str">
        <f t="shared" si="4"/>
        <v/>
      </c>
      <c r="H161" s="18"/>
      <c r="I161" s="5"/>
      <c r="J161" s="21" t="str">
        <f t="shared" si="5"/>
        <v/>
      </c>
      <c r="K161" s="17" t="str">
        <f>IF(I161="","",MATCH($I161,Settings!$F$5:$F$46,0))</f>
        <v/>
      </c>
      <c r="L161" s="18"/>
    </row>
    <row r="162" spans="2:12" x14ac:dyDescent="0.25">
      <c r="B162" s="16"/>
      <c r="C162" s="17" t="str">
        <f>IF(B162="","",IF(AND($B162&gt;=Settings!$C$10,$B162&lt;=Settings!$C$11),"OK","ERROR"))</f>
        <v/>
      </c>
      <c r="D162" s="18"/>
      <c r="E162" s="5"/>
      <c r="F162" s="19"/>
      <c r="G162" s="20" t="str">
        <f t="shared" si="4"/>
        <v/>
      </c>
      <c r="H162" s="18"/>
      <c r="I162" s="5"/>
      <c r="J162" s="21" t="str">
        <f t="shared" si="5"/>
        <v/>
      </c>
      <c r="K162" s="17" t="str">
        <f>IF(I162="","",MATCH($I162,Settings!$F$5:$F$46,0))</f>
        <v/>
      </c>
      <c r="L162" s="18"/>
    </row>
    <row r="163" spans="2:12" x14ac:dyDescent="0.25">
      <c r="B163" s="16"/>
      <c r="C163" s="17" t="str">
        <f>IF(B163="","",IF(AND($B163&gt;=Settings!$C$10,$B163&lt;=Settings!$C$11),"OK","ERROR"))</f>
        <v/>
      </c>
      <c r="D163" s="18"/>
      <c r="E163" s="5"/>
      <c r="F163" s="19"/>
      <c r="G163" s="20" t="str">
        <f t="shared" si="4"/>
        <v/>
      </c>
      <c r="H163" s="18"/>
      <c r="I163" s="5"/>
      <c r="J163" s="21" t="str">
        <f t="shared" si="5"/>
        <v/>
      </c>
      <c r="K163" s="17" t="str">
        <f>IF(I163="","",MATCH($I163,Settings!$F$5:$F$46,0))</f>
        <v/>
      </c>
      <c r="L163" s="18"/>
    </row>
    <row r="164" spans="2:12" x14ac:dyDescent="0.25">
      <c r="B164" s="16"/>
      <c r="C164" s="17" t="str">
        <f>IF(B164="","",IF(AND($B164&gt;=Settings!$C$10,$B164&lt;=Settings!$C$11),"OK","ERROR"))</f>
        <v/>
      </c>
      <c r="D164" s="18"/>
      <c r="E164" s="5"/>
      <c r="F164" s="19"/>
      <c r="G164" s="20" t="str">
        <f t="shared" si="4"/>
        <v/>
      </c>
      <c r="H164" s="18"/>
      <c r="I164" s="5"/>
      <c r="J164" s="21" t="str">
        <f t="shared" si="5"/>
        <v/>
      </c>
      <c r="K164" s="17" t="str">
        <f>IF(I164="","",MATCH($I164,Settings!$F$5:$F$46,0))</f>
        <v/>
      </c>
      <c r="L164" s="18"/>
    </row>
    <row r="165" spans="2:12" x14ac:dyDescent="0.25">
      <c r="B165" s="16"/>
      <c r="C165" s="17" t="str">
        <f>IF(B165="","",IF(AND($B165&gt;=Settings!$C$10,$B165&lt;=Settings!$C$11),"OK","ERROR"))</f>
        <v/>
      </c>
      <c r="D165" s="18"/>
      <c r="E165" s="5"/>
      <c r="F165" s="19"/>
      <c r="G165" s="20" t="str">
        <f t="shared" si="4"/>
        <v/>
      </c>
      <c r="H165" s="18"/>
      <c r="I165" s="5"/>
      <c r="J165" s="21" t="str">
        <f t="shared" si="5"/>
        <v/>
      </c>
      <c r="K165" s="17" t="str">
        <f>IF(I165="","",MATCH($I165,Settings!$F$5:$F$46,0))</f>
        <v/>
      </c>
      <c r="L165" s="18"/>
    </row>
    <row r="166" spans="2:12" x14ac:dyDescent="0.25">
      <c r="B166" s="16"/>
      <c r="C166" s="17" t="str">
        <f>IF(B166="","",IF(AND($B166&gt;=Settings!$C$10,$B166&lt;=Settings!$C$11),"OK","ERROR"))</f>
        <v/>
      </c>
      <c r="D166" s="18"/>
      <c r="E166" s="5"/>
      <c r="F166" s="19"/>
      <c r="G166" s="20" t="str">
        <f t="shared" si="4"/>
        <v/>
      </c>
      <c r="H166" s="18"/>
      <c r="I166" s="5"/>
      <c r="J166" s="21" t="str">
        <f t="shared" si="5"/>
        <v/>
      </c>
      <c r="K166" s="17" t="str">
        <f>IF(I166="","",MATCH($I166,Settings!$F$5:$F$46,0))</f>
        <v/>
      </c>
      <c r="L166" s="18"/>
    </row>
    <row r="167" spans="2:12" x14ac:dyDescent="0.25">
      <c r="B167" s="16"/>
      <c r="C167" s="17" t="str">
        <f>IF(B167="","",IF(AND($B167&gt;=Settings!$C$10,$B167&lt;=Settings!$C$11),"OK","ERROR"))</f>
        <v/>
      </c>
      <c r="D167" s="18"/>
      <c r="E167" s="5"/>
      <c r="F167" s="19"/>
      <c r="G167" s="20" t="str">
        <f t="shared" si="4"/>
        <v/>
      </c>
      <c r="H167" s="18"/>
      <c r="I167" s="5"/>
      <c r="J167" s="21" t="str">
        <f t="shared" si="5"/>
        <v/>
      </c>
      <c r="K167" s="17" t="str">
        <f>IF(I167="","",MATCH($I167,Settings!$F$5:$F$46,0))</f>
        <v/>
      </c>
      <c r="L167" s="18"/>
    </row>
    <row r="168" spans="2:12" x14ac:dyDescent="0.25">
      <c r="B168" s="16"/>
      <c r="C168" s="17" t="str">
        <f>IF(B168="","",IF(AND($B168&gt;=Settings!$C$10,$B168&lt;=Settings!$C$11),"OK","ERROR"))</f>
        <v/>
      </c>
      <c r="D168" s="18"/>
      <c r="E168" s="5"/>
      <c r="F168" s="19"/>
      <c r="G168" s="20" t="str">
        <f t="shared" si="4"/>
        <v/>
      </c>
      <c r="H168" s="18"/>
      <c r="I168" s="5"/>
      <c r="J168" s="21" t="str">
        <f t="shared" si="5"/>
        <v/>
      </c>
      <c r="K168" s="17" t="str">
        <f>IF(I168="","",MATCH($I168,Settings!$F$5:$F$46,0))</f>
        <v/>
      </c>
      <c r="L168" s="18"/>
    </row>
    <row r="169" spans="2:12" x14ac:dyDescent="0.25">
      <c r="B169" s="16"/>
      <c r="C169" s="17" t="str">
        <f>IF(B169="","",IF(AND($B169&gt;=Settings!$C$10,$B169&lt;=Settings!$C$11),"OK","ERROR"))</f>
        <v/>
      </c>
      <c r="D169" s="18"/>
      <c r="E169" s="5"/>
      <c r="F169" s="19"/>
      <c r="G169" s="20" t="str">
        <f t="shared" si="4"/>
        <v/>
      </c>
      <c r="H169" s="18"/>
      <c r="I169" s="5"/>
      <c r="J169" s="21" t="str">
        <f t="shared" si="5"/>
        <v/>
      </c>
      <c r="K169" s="17" t="str">
        <f>IF(I169="","",MATCH($I169,Settings!$F$5:$F$46,0))</f>
        <v/>
      </c>
      <c r="L169" s="18"/>
    </row>
    <row r="170" spans="2:12" x14ac:dyDescent="0.25">
      <c r="B170" s="16"/>
      <c r="C170" s="17" t="str">
        <f>IF(B170="","",IF(AND($B170&gt;=Settings!$C$10,$B170&lt;=Settings!$C$11),"OK","ERROR"))</f>
        <v/>
      </c>
      <c r="D170" s="18"/>
      <c r="E170" s="5"/>
      <c r="F170" s="19"/>
      <c r="G170" s="20" t="str">
        <f t="shared" si="4"/>
        <v/>
      </c>
      <c r="H170" s="18"/>
      <c r="I170" s="5"/>
      <c r="J170" s="21" t="str">
        <f t="shared" si="5"/>
        <v/>
      </c>
      <c r="K170" s="17" t="str">
        <f>IF(I170="","",MATCH($I170,Settings!$F$5:$F$46,0))</f>
        <v/>
      </c>
      <c r="L170" s="18"/>
    </row>
    <row r="171" spans="2:12" x14ac:dyDescent="0.25">
      <c r="B171" s="16"/>
      <c r="C171" s="17" t="str">
        <f>IF(B171="","",IF(AND($B171&gt;=Settings!$C$10,$B171&lt;=Settings!$C$11),"OK","ERROR"))</f>
        <v/>
      </c>
      <c r="D171" s="18"/>
      <c r="E171" s="5"/>
      <c r="F171" s="19"/>
      <c r="G171" s="20" t="str">
        <f t="shared" si="4"/>
        <v/>
      </c>
      <c r="H171" s="18"/>
      <c r="I171" s="5"/>
      <c r="J171" s="21" t="str">
        <f t="shared" si="5"/>
        <v/>
      </c>
      <c r="K171" s="17" t="str">
        <f>IF(I171="","",MATCH($I171,Settings!$F$5:$F$46,0))</f>
        <v/>
      </c>
      <c r="L171" s="18"/>
    </row>
    <row r="172" spans="2:12" x14ac:dyDescent="0.25">
      <c r="B172" s="16"/>
      <c r="C172" s="17" t="str">
        <f>IF(B172="","",IF(AND($B172&gt;=Settings!$C$10,$B172&lt;=Settings!$C$11),"OK","ERROR"))</f>
        <v/>
      </c>
      <c r="D172" s="18"/>
      <c r="E172" s="5"/>
      <c r="F172" s="19"/>
      <c r="G172" s="20" t="str">
        <f t="shared" si="4"/>
        <v/>
      </c>
      <c r="H172" s="18"/>
      <c r="I172" s="5"/>
      <c r="J172" s="21" t="str">
        <f t="shared" si="5"/>
        <v/>
      </c>
      <c r="K172" s="17" t="str">
        <f>IF(I172="","",MATCH($I172,Settings!$F$5:$F$46,0))</f>
        <v/>
      </c>
      <c r="L172" s="18"/>
    </row>
    <row r="173" spans="2:12" x14ac:dyDescent="0.25">
      <c r="B173" s="16"/>
      <c r="C173" s="17" t="str">
        <f>IF(B173="","",IF(AND($B173&gt;=Settings!$C$10,$B173&lt;=Settings!$C$11),"OK","ERROR"))</f>
        <v/>
      </c>
      <c r="D173" s="18"/>
      <c r="E173" s="5"/>
      <c r="F173" s="19"/>
      <c r="G173" s="20" t="str">
        <f t="shared" si="4"/>
        <v/>
      </c>
      <c r="H173" s="18"/>
      <c r="I173" s="5"/>
      <c r="J173" s="21" t="str">
        <f t="shared" si="5"/>
        <v/>
      </c>
      <c r="K173" s="17" t="str">
        <f>IF(I173="","",MATCH($I173,Settings!$F$5:$F$46,0))</f>
        <v/>
      </c>
      <c r="L173" s="18"/>
    </row>
    <row r="174" spans="2:12" x14ac:dyDescent="0.25">
      <c r="B174" s="16"/>
      <c r="C174" s="17" t="str">
        <f>IF(B174="","",IF(AND($B174&gt;=Settings!$C$10,$B174&lt;=Settings!$C$11),"OK","ERROR"))</f>
        <v/>
      </c>
      <c r="D174" s="18"/>
      <c r="E174" s="5"/>
      <c r="F174" s="19"/>
      <c r="G174" s="20" t="str">
        <f t="shared" si="4"/>
        <v/>
      </c>
      <c r="H174" s="18"/>
      <c r="I174" s="5"/>
      <c r="J174" s="21" t="str">
        <f t="shared" si="5"/>
        <v/>
      </c>
      <c r="K174" s="17" t="str">
        <f>IF(I174="","",MATCH($I174,Settings!$F$5:$F$46,0))</f>
        <v/>
      </c>
      <c r="L174" s="18"/>
    </row>
    <row r="175" spans="2:12" x14ac:dyDescent="0.25">
      <c r="B175" s="16"/>
      <c r="C175" s="17" t="str">
        <f>IF(B175="","",IF(AND($B175&gt;=Settings!$C$10,$B175&lt;=Settings!$C$11),"OK","ERROR"))</f>
        <v/>
      </c>
      <c r="D175" s="18"/>
      <c r="E175" s="5"/>
      <c r="F175" s="19"/>
      <c r="G175" s="20" t="str">
        <f t="shared" si="4"/>
        <v/>
      </c>
      <c r="H175" s="18"/>
      <c r="I175" s="5"/>
      <c r="J175" s="21" t="str">
        <f t="shared" si="5"/>
        <v/>
      </c>
      <c r="K175" s="17" t="str">
        <f>IF(I175="","",MATCH($I175,Settings!$F$5:$F$46,0))</f>
        <v/>
      </c>
      <c r="L175" s="18"/>
    </row>
    <row r="176" spans="2:12" x14ac:dyDescent="0.25">
      <c r="B176" s="16"/>
      <c r="C176" s="17" t="str">
        <f>IF(B176="","",IF(AND($B176&gt;=Settings!$C$10,$B176&lt;=Settings!$C$11),"OK","ERROR"))</f>
        <v/>
      </c>
      <c r="D176" s="18"/>
      <c r="E176" s="5"/>
      <c r="F176" s="19"/>
      <c r="G176" s="20" t="str">
        <f t="shared" si="4"/>
        <v/>
      </c>
      <c r="H176" s="18"/>
      <c r="I176" s="5"/>
      <c r="J176" s="21" t="str">
        <f t="shared" si="5"/>
        <v/>
      </c>
      <c r="K176" s="17" t="str">
        <f>IF(I176="","",MATCH($I176,Settings!$F$5:$F$46,0))</f>
        <v/>
      </c>
      <c r="L176" s="18"/>
    </row>
    <row r="177" spans="2:12" x14ac:dyDescent="0.25">
      <c r="B177" s="16"/>
      <c r="C177" s="17" t="str">
        <f>IF(B177="","",IF(AND($B177&gt;=Settings!$C$10,$B177&lt;=Settings!$C$11),"OK","ERROR"))</f>
        <v/>
      </c>
      <c r="D177" s="18"/>
      <c r="E177" s="5"/>
      <c r="F177" s="19"/>
      <c r="G177" s="20" t="str">
        <f t="shared" si="4"/>
        <v/>
      </c>
      <c r="H177" s="18"/>
      <c r="I177" s="5"/>
      <c r="J177" s="21" t="str">
        <f t="shared" si="5"/>
        <v/>
      </c>
      <c r="K177" s="17" t="str">
        <f>IF(I177="","",MATCH($I177,Settings!$F$5:$F$46,0))</f>
        <v/>
      </c>
      <c r="L177" s="18"/>
    </row>
    <row r="178" spans="2:12" x14ac:dyDescent="0.25">
      <c r="B178" s="16"/>
      <c r="C178" s="17" t="str">
        <f>IF(B178="","",IF(AND($B178&gt;=Settings!$C$10,$B178&lt;=Settings!$C$11),"OK","ERROR"))</f>
        <v/>
      </c>
      <c r="D178" s="18"/>
      <c r="E178" s="5"/>
      <c r="F178" s="19"/>
      <c r="G178" s="20" t="str">
        <f t="shared" si="4"/>
        <v/>
      </c>
      <c r="H178" s="18"/>
      <c r="I178" s="5"/>
      <c r="J178" s="21" t="str">
        <f t="shared" si="5"/>
        <v/>
      </c>
      <c r="K178" s="17" t="str">
        <f>IF(I178="","",MATCH($I178,Settings!$F$5:$F$46,0))</f>
        <v/>
      </c>
      <c r="L178" s="18"/>
    </row>
    <row r="179" spans="2:12" x14ac:dyDescent="0.25">
      <c r="B179" s="16"/>
      <c r="C179" s="17" t="str">
        <f>IF(B179="","",IF(AND($B179&gt;=Settings!$C$10,$B179&lt;=Settings!$C$11),"OK","ERROR"))</f>
        <v/>
      </c>
      <c r="D179" s="18"/>
      <c r="E179" s="5"/>
      <c r="F179" s="19"/>
      <c r="G179" s="20" t="str">
        <f t="shared" si="4"/>
        <v/>
      </c>
      <c r="H179" s="18"/>
      <c r="I179" s="5"/>
      <c r="J179" s="21" t="str">
        <f t="shared" si="5"/>
        <v/>
      </c>
      <c r="K179" s="17" t="str">
        <f>IF(I179="","",MATCH($I179,Settings!$F$5:$F$46,0))</f>
        <v/>
      </c>
      <c r="L179" s="18"/>
    </row>
    <row r="180" spans="2:12" x14ac:dyDescent="0.25">
      <c r="B180" s="16"/>
      <c r="C180" s="17" t="str">
        <f>IF(B180="","",IF(AND($B180&gt;=Settings!$C$10,$B180&lt;=Settings!$C$11),"OK","ERROR"))</f>
        <v/>
      </c>
      <c r="D180" s="18"/>
      <c r="E180" s="5"/>
      <c r="F180" s="19"/>
      <c r="G180" s="20" t="str">
        <f t="shared" si="4"/>
        <v/>
      </c>
      <c r="H180" s="18"/>
      <c r="I180" s="5"/>
      <c r="J180" s="21" t="str">
        <f t="shared" si="5"/>
        <v/>
      </c>
      <c r="K180" s="17" t="str">
        <f>IF(I180="","",MATCH($I180,Settings!$F$5:$F$46,0))</f>
        <v/>
      </c>
      <c r="L180" s="18"/>
    </row>
    <row r="181" spans="2:12" x14ac:dyDescent="0.25">
      <c r="B181" s="16"/>
      <c r="C181" s="17" t="str">
        <f>IF(B181="","",IF(AND($B181&gt;=Settings!$C$10,$B181&lt;=Settings!$C$11),"OK","ERROR"))</f>
        <v/>
      </c>
      <c r="D181" s="18"/>
      <c r="E181" s="5"/>
      <c r="F181" s="19"/>
      <c r="G181" s="20" t="str">
        <f t="shared" si="4"/>
        <v/>
      </c>
      <c r="H181" s="18"/>
      <c r="I181" s="5"/>
      <c r="J181" s="21" t="str">
        <f t="shared" si="5"/>
        <v/>
      </c>
      <c r="K181" s="17" t="str">
        <f>IF(I181="","",MATCH($I181,Settings!$F$5:$F$46,0))</f>
        <v/>
      </c>
      <c r="L181" s="18"/>
    </row>
    <row r="182" spans="2:12" x14ac:dyDescent="0.25">
      <c r="B182" s="16"/>
      <c r="C182" s="17" t="str">
        <f>IF(B182="","",IF(AND($B182&gt;=Settings!$C$10,$B182&lt;=Settings!$C$11),"OK","ERROR"))</f>
        <v/>
      </c>
      <c r="D182" s="18"/>
      <c r="E182" s="5"/>
      <c r="F182" s="19"/>
      <c r="G182" s="20" t="str">
        <f t="shared" si="4"/>
        <v/>
      </c>
      <c r="H182" s="18"/>
      <c r="I182" s="5"/>
      <c r="J182" s="21" t="str">
        <f t="shared" si="5"/>
        <v/>
      </c>
      <c r="K182" s="17" t="str">
        <f>IF(I182="","",MATCH($I182,Settings!$F$5:$F$46,0))</f>
        <v/>
      </c>
      <c r="L182" s="18"/>
    </row>
    <row r="183" spans="2:12" x14ac:dyDescent="0.25">
      <c r="B183" s="16"/>
      <c r="C183" s="17" t="str">
        <f>IF(B183="","",IF(AND($B183&gt;=Settings!$C$10,$B183&lt;=Settings!$C$11),"OK","ERROR"))</f>
        <v/>
      </c>
      <c r="D183" s="18"/>
      <c r="E183" s="5"/>
      <c r="F183" s="19"/>
      <c r="G183" s="20" t="str">
        <f t="shared" si="4"/>
        <v/>
      </c>
      <c r="H183" s="18"/>
      <c r="I183" s="5"/>
      <c r="J183" s="21" t="str">
        <f t="shared" si="5"/>
        <v/>
      </c>
      <c r="K183" s="17" t="str">
        <f>IF(I183="","",MATCH($I183,Settings!$F$5:$F$46,0))</f>
        <v/>
      </c>
      <c r="L183" s="18"/>
    </row>
    <row r="184" spans="2:12" x14ac:dyDescent="0.25">
      <c r="B184" s="16"/>
      <c r="C184" s="17" t="str">
        <f>IF(B184="","",IF(AND($B184&gt;=Settings!$C$10,$B184&lt;=Settings!$C$11),"OK","ERROR"))</f>
        <v/>
      </c>
      <c r="D184" s="18"/>
      <c r="E184" s="5"/>
      <c r="F184" s="19"/>
      <c r="G184" s="20" t="str">
        <f t="shared" si="4"/>
        <v/>
      </c>
      <c r="H184" s="18"/>
      <c r="I184" s="5"/>
      <c r="J184" s="21" t="str">
        <f t="shared" si="5"/>
        <v/>
      </c>
      <c r="K184" s="17" t="str">
        <f>IF(I184="","",MATCH($I184,Settings!$F$5:$F$46,0))</f>
        <v/>
      </c>
      <c r="L184" s="18"/>
    </row>
    <row r="185" spans="2:12" x14ac:dyDescent="0.25">
      <c r="B185" s="16"/>
      <c r="C185" s="17" t="str">
        <f>IF(B185="","",IF(AND($B185&gt;=Settings!$C$10,$B185&lt;=Settings!$C$11),"OK","ERROR"))</f>
        <v/>
      </c>
      <c r="D185" s="18"/>
      <c r="E185" s="5"/>
      <c r="F185" s="19"/>
      <c r="G185" s="20" t="str">
        <f t="shared" si="4"/>
        <v/>
      </c>
      <c r="H185" s="18"/>
      <c r="I185" s="5"/>
      <c r="J185" s="21" t="str">
        <f t="shared" si="5"/>
        <v/>
      </c>
      <c r="K185" s="17" t="str">
        <f>IF(I185="","",MATCH($I185,Settings!$F$5:$F$46,0))</f>
        <v/>
      </c>
      <c r="L185" s="18"/>
    </row>
    <row r="186" spans="2:12" x14ac:dyDescent="0.25">
      <c r="B186" s="16"/>
      <c r="C186" s="17" t="str">
        <f>IF(B186="","",IF(AND($B186&gt;=Settings!$C$10,$B186&lt;=Settings!$C$11),"OK","ERROR"))</f>
        <v/>
      </c>
      <c r="D186" s="18"/>
      <c r="E186" s="5"/>
      <c r="F186" s="19"/>
      <c r="G186" s="20" t="str">
        <f t="shared" si="4"/>
        <v/>
      </c>
      <c r="H186" s="18"/>
      <c r="I186" s="5"/>
      <c r="J186" s="21" t="str">
        <f t="shared" si="5"/>
        <v/>
      </c>
      <c r="K186" s="17" t="str">
        <f>IF(I186="","",MATCH($I186,Settings!$F$5:$F$46,0))</f>
        <v/>
      </c>
      <c r="L186" s="18"/>
    </row>
    <row r="187" spans="2:12" x14ac:dyDescent="0.25">
      <c r="B187" s="16"/>
      <c r="C187" s="17" t="str">
        <f>IF(B187="","",IF(AND($B187&gt;=Settings!$C$10,$B187&lt;=Settings!$C$11),"OK","ERROR"))</f>
        <v/>
      </c>
      <c r="D187" s="18"/>
      <c r="E187" s="5"/>
      <c r="F187" s="19"/>
      <c r="G187" s="20" t="str">
        <f t="shared" si="4"/>
        <v/>
      </c>
      <c r="H187" s="18"/>
      <c r="I187" s="5"/>
      <c r="J187" s="21" t="str">
        <f t="shared" si="5"/>
        <v/>
      </c>
      <c r="K187" s="17" t="str">
        <f>IF(I187="","",MATCH($I187,Settings!$F$5:$F$46,0))</f>
        <v/>
      </c>
      <c r="L187" s="18"/>
    </row>
    <row r="188" spans="2:12" x14ac:dyDescent="0.25">
      <c r="B188" s="16"/>
      <c r="C188" s="17" t="str">
        <f>IF(B188="","",IF(AND($B188&gt;=Settings!$C$10,$B188&lt;=Settings!$C$11),"OK","ERROR"))</f>
        <v/>
      </c>
      <c r="D188" s="18"/>
      <c r="E188" s="5"/>
      <c r="F188" s="19"/>
      <c r="G188" s="20" t="str">
        <f t="shared" si="4"/>
        <v/>
      </c>
      <c r="H188" s="18"/>
      <c r="I188" s="5"/>
      <c r="J188" s="21" t="str">
        <f t="shared" si="5"/>
        <v/>
      </c>
      <c r="K188" s="17" t="str">
        <f>IF(I188="","",MATCH($I188,Settings!$F$5:$F$46,0))</f>
        <v/>
      </c>
      <c r="L188" s="18"/>
    </row>
    <row r="189" spans="2:12" x14ac:dyDescent="0.25">
      <c r="B189" s="16"/>
      <c r="C189" s="17" t="str">
        <f>IF(B189="","",IF(AND($B189&gt;=Settings!$C$10,$B189&lt;=Settings!$C$11),"OK","ERROR"))</f>
        <v/>
      </c>
      <c r="D189" s="18"/>
      <c r="E189" s="5"/>
      <c r="F189" s="19"/>
      <c r="G189" s="20" t="str">
        <f t="shared" si="4"/>
        <v/>
      </c>
      <c r="H189" s="18"/>
      <c r="I189" s="5"/>
      <c r="J189" s="21" t="str">
        <f t="shared" si="5"/>
        <v/>
      </c>
      <c r="K189" s="17" t="str">
        <f>IF(I189="","",MATCH($I189,Settings!$F$5:$F$46,0))</f>
        <v/>
      </c>
      <c r="L189" s="18"/>
    </row>
    <row r="190" spans="2:12" x14ac:dyDescent="0.25">
      <c r="B190" s="16"/>
      <c r="C190" s="17" t="str">
        <f>IF(B190="","",IF(AND($B190&gt;=Settings!$C$10,$B190&lt;=Settings!$C$11),"OK","ERROR"))</f>
        <v/>
      </c>
      <c r="D190" s="18"/>
      <c r="E190" s="5"/>
      <c r="F190" s="19"/>
      <c r="G190" s="20" t="str">
        <f t="shared" si="4"/>
        <v/>
      </c>
      <c r="H190" s="18"/>
      <c r="I190" s="5"/>
      <c r="J190" s="21" t="str">
        <f t="shared" si="5"/>
        <v/>
      </c>
      <c r="K190" s="17" t="str">
        <f>IF(I190="","",MATCH($I190,Settings!$F$5:$F$46,0))</f>
        <v/>
      </c>
      <c r="L190" s="18"/>
    </row>
    <row r="191" spans="2:12" x14ac:dyDescent="0.25">
      <c r="B191" s="16"/>
      <c r="C191" s="17" t="str">
        <f>IF(B191="","",IF(AND($B191&gt;=Settings!$C$10,$B191&lt;=Settings!$C$11),"OK","ERROR"))</f>
        <v/>
      </c>
      <c r="D191" s="18"/>
      <c r="E191" s="5"/>
      <c r="F191" s="19"/>
      <c r="G191" s="20" t="str">
        <f t="shared" si="4"/>
        <v/>
      </c>
      <c r="H191" s="18"/>
      <c r="I191" s="5"/>
      <c r="J191" s="21" t="str">
        <f t="shared" si="5"/>
        <v/>
      </c>
      <c r="K191" s="17" t="str">
        <f>IF(I191="","",MATCH($I191,Settings!$F$5:$F$46,0))</f>
        <v/>
      </c>
      <c r="L191" s="18"/>
    </row>
    <row r="192" spans="2:12" x14ac:dyDescent="0.25">
      <c r="B192" s="16"/>
      <c r="C192" s="17" t="str">
        <f>IF(B192="","",IF(AND($B192&gt;=Settings!$C$10,$B192&lt;=Settings!$C$11),"OK","ERROR"))</f>
        <v/>
      </c>
      <c r="D192" s="18"/>
      <c r="E192" s="5"/>
      <c r="F192" s="19"/>
      <c r="G192" s="20" t="str">
        <f t="shared" si="4"/>
        <v/>
      </c>
      <c r="H192" s="18"/>
      <c r="I192" s="5"/>
      <c r="J192" s="21" t="str">
        <f t="shared" si="5"/>
        <v/>
      </c>
      <c r="K192" s="17" t="str">
        <f>IF(I192="","",MATCH($I192,Settings!$F$5:$F$46,0))</f>
        <v/>
      </c>
      <c r="L192" s="18"/>
    </row>
    <row r="193" spans="2:12" x14ac:dyDescent="0.25">
      <c r="B193" s="16"/>
      <c r="C193" s="17" t="str">
        <f>IF(B193="","",IF(AND($B193&gt;=Settings!$C$10,$B193&lt;=Settings!$C$11),"OK","ERROR"))</f>
        <v/>
      </c>
      <c r="D193" s="18"/>
      <c r="E193" s="5"/>
      <c r="F193" s="19"/>
      <c r="G193" s="20" t="str">
        <f t="shared" si="4"/>
        <v/>
      </c>
      <c r="H193" s="18"/>
      <c r="I193" s="5"/>
      <c r="J193" s="21" t="str">
        <f t="shared" si="5"/>
        <v/>
      </c>
      <c r="K193" s="17" t="str">
        <f>IF(I193="","",MATCH($I193,Settings!$F$5:$F$46,0))</f>
        <v/>
      </c>
      <c r="L193" s="18"/>
    </row>
    <row r="194" spans="2:12" x14ac:dyDescent="0.25">
      <c r="B194" s="16"/>
      <c r="C194" s="17" t="str">
        <f>IF(B194="","",IF(AND($B194&gt;=Settings!$C$10,$B194&lt;=Settings!$C$11),"OK","ERROR"))</f>
        <v/>
      </c>
      <c r="D194" s="18"/>
      <c r="E194" s="5"/>
      <c r="F194" s="19"/>
      <c r="G194" s="20" t="str">
        <f t="shared" si="4"/>
        <v/>
      </c>
      <c r="H194" s="18"/>
      <c r="I194" s="5"/>
      <c r="J194" s="21" t="str">
        <f t="shared" si="5"/>
        <v/>
      </c>
      <c r="K194" s="17" t="str">
        <f>IF(I194="","",MATCH($I194,Settings!$F$5:$F$46,0))</f>
        <v/>
      </c>
      <c r="L194" s="18"/>
    </row>
    <row r="195" spans="2:12" x14ac:dyDescent="0.25">
      <c r="B195" s="16"/>
      <c r="C195" s="17" t="str">
        <f>IF(B195="","",IF(AND($B195&gt;=Settings!$C$10,$B195&lt;=Settings!$C$11),"OK","ERROR"))</f>
        <v/>
      </c>
      <c r="D195" s="18"/>
      <c r="E195" s="5"/>
      <c r="F195" s="19"/>
      <c r="G195" s="20" t="str">
        <f t="shared" si="4"/>
        <v/>
      </c>
      <c r="H195" s="18"/>
      <c r="I195" s="5"/>
      <c r="J195" s="21" t="str">
        <f t="shared" si="5"/>
        <v/>
      </c>
      <c r="K195" s="17" t="str">
        <f>IF(I195="","",MATCH($I195,Settings!$F$5:$F$46,0))</f>
        <v/>
      </c>
      <c r="L195" s="18"/>
    </row>
    <row r="196" spans="2:12" x14ac:dyDescent="0.25">
      <c r="B196" s="16"/>
      <c r="C196" s="17" t="str">
        <f>IF(B196="","",IF(AND($B196&gt;=Settings!$C$10,$B196&lt;=Settings!$C$11),"OK","ERROR"))</f>
        <v/>
      </c>
      <c r="D196" s="18"/>
      <c r="E196" s="5"/>
      <c r="F196" s="19"/>
      <c r="G196" s="20" t="str">
        <f t="shared" si="4"/>
        <v/>
      </c>
      <c r="H196" s="18"/>
      <c r="I196" s="5"/>
      <c r="J196" s="21" t="str">
        <f t="shared" si="5"/>
        <v/>
      </c>
      <c r="K196" s="17" t="str">
        <f>IF(I196="","",MATCH($I196,Settings!$F$5:$F$46,0))</f>
        <v/>
      </c>
      <c r="L196" s="18"/>
    </row>
    <row r="197" spans="2:12" x14ac:dyDescent="0.25">
      <c r="B197" s="16"/>
      <c r="C197" s="17" t="str">
        <f>IF(B197="","",IF(AND($B197&gt;=Settings!$C$10,$B197&lt;=Settings!$C$11),"OK","ERROR"))</f>
        <v/>
      </c>
      <c r="D197" s="18"/>
      <c r="E197" s="5"/>
      <c r="F197" s="19"/>
      <c r="G197" s="20" t="str">
        <f t="shared" si="4"/>
        <v/>
      </c>
      <c r="H197" s="18"/>
      <c r="I197" s="5"/>
      <c r="J197" s="21" t="str">
        <f t="shared" si="5"/>
        <v/>
      </c>
      <c r="K197" s="17" t="str">
        <f>IF(I197="","",MATCH($I197,Settings!$F$5:$F$46,0))</f>
        <v/>
      </c>
      <c r="L197" s="18"/>
    </row>
    <row r="198" spans="2:12" x14ac:dyDescent="0.25">
      <c r="B198" s="16"/>
      <c r="C198" s="17" t="str">
        <f>IF(B198="","",IF(AND($B198&gt;=Settings!$C$10,$B198&lt;=Settings!$C$11),"OK","ERROR"))</f>
        <v/>
      </c>
      <c r="D198" s="18"/>
      <c r="E198" s="5"/>
      <c r="F198" s="19"/>
      <c r="G198" s="20" t="str">
        <f t="shared" ref="G198:G261" si="6">IF(F198="","",IF(I198&lt;&gt;"","OK","ERROR"))</f>
        <v/>
      </c>
      <c r="H198" s="18"/>
      <c r="I198" s="5"/>
      <c r="J198" s="21" t="str">
        <f t="shared" si="5"/>
        <v/>
      </c>
      <c r="K198" s="17" t="str">
        <f>IF(I198="","",MATCH($I198,Settings!$F$5:$F$46,0))</f>
        <v/>
      </c>
      <c r="L198" s="18"/>
    </row>
    <row r="199" spans="2:12" x14ac:dyDescent="0.25">
      <c r="B199" s="16"/>
      <c r="C199" s="17" t="str">
        <f>IF(B199="","",IF(AND($B199&gt;=Settings!$C$10,$B199&lt;=Settings!$C$11),"OK","ERROR"))</f>
        <v/>
      </c>
      <c r="D199" s="18"/>
      <c r="E199" s="5"/>
      <c r="F199" s="19"/>
      <c r="G199" s="20" t="str">
        <f t="shared" si="6"/>
        <v/>
      </c>
      <c r="H199" s="18"/>
      <c r="I199" s="5"/>
      <c r="J199" s="21" t="str">
        <f t="shared" ref="J199:J262" si="7">IF(I199="","",IF(ISERROR($K199)=TRUE,"ERROR","OK"))</f>
        <v/>
      </c>
      <c r="K199" s="17" t="str">
        <f>IF(I199="","",MATCH($I199,Settings!$F$5:$F$46,0))</f>
        <v/>
      </c>
      <c r="L199" s="18"/>
    </row>
    <row r="200" spans="2:12" x14ac:dyDescent="0.25">
      <c r="B200" s="16"/>
      <c r="C200" s="17" t="str">
        <f>IF(B200="","",IF(AND($B200&gt;=Settings!$C$10,$B200&lt;=Settings!$C$11),"OK","ERROR"))</f>
        <v/>
      </c>
      <c r="D200" s="18"/>
      <c r="E200" s="5"/>
      <c r="F200" s="19"/>
      <c r="G200" s="20" t="str">
        <f t="shared" si="6"/>
        <v/>
      </c>
      <c r="H200" s="18"/>
      <c r="I200" s="5"/>
      <c r="J200" s="21" t="str">
        <f t="shared" si="7"/>
        <v/>
      </c>
      <c r="K200" s="17" t="str">
        <f>IF(I200="","",MATCH($I200,Settings!$F$5:$F$46,0))</f>
        <v/>
      </c>
      <c r="L200" s="18"/>
    </row>
    <row r="201" spans="2:12" x14ac:dyDescent="0.25">
      <c r="B201" s="16"/>
      <c r="C201" s="17" t="str">
        <f>IF(B201="","",IF(AND($B201&gt;=Settings!$C$10,$B201&lt;=Settings!$C$11),"OK","ERROR"))</f>
        <v/>
      </c>
      <c r="D201" s="18"/>
      <c r="E201" s="5"/>
      <c r="F201" s="19"/>
      <c r="G201" s="20" t="str">
        <f t="shared" si="6"/>
        <v/>
      </c>
      <c r="H201" s="18"/>
      <c r="I201" s="5"/>
      <c r="J201" s="21" t="str">
        <f t="shared" si="7"/>
        <v/>
      </c>
      <c r="K201" s="17" t="str">
        <f>IF(I201="","",MATCH($I201,Settings!$F$5:$F$46,0))</f>
        <v/>
      </c>
      <c r="L201" s="18"/>
    </row>
    <row r="202" spans="2:12" x14ac:dyDescent="0.25">
      <c r="B202" s="16"/>
      <c r="C202" s="17" t="str">
        <f>IF(B202="","",IF(AND($B202&gt;=Settings!$C$10,$B202&lt;=Settings!$C$11),"OK","ERROR"))</f>
        <v/>
      </c>
      <c r="D202" s="18"/>
      <c r="E202" s="5"/>
      <c r="F202" s="19"/>
      <c r="G202" s="20" t="str">
        <f t="shared" si="6"/>
        <v/>
      </c>
      <c r="H202" s="18"/>
      <c r="I202" s="5"/>
      <c r="J202" s="21" t="str">
        <f t="shared" si="7"/>
        <v/>
      </c>
      <c r="K202" s="17" t="str">
        <f>IF(I202="","",MATCH($I202,Settings!$F$5:$F$46,0))</f>
        <v/>
      </c>
      <c r="L202" s="18"/>
    </row>
    <row r="203" spans="2:12" x14ac:dyDescent="0.25">
      <c r="B203" s="16"/>
      <c r="C203" s="17" t="str">
        <f>IF(B203="","",IF(AND($B203&gt;=Settings!$C$10,$B203&lt;=Settings!$C$11),"OK","ERROR"))</f>
        <v/>
      </c>
      <c r="D203" s="18"/>
      <c r="E203" s="5"/>
      <c r="F203" s="19"/>
      <c r="G203" s="20" t="str">
        <f t="shared" si="6"/>
        <v/>
      </c>
      <c r="H203" s="18"/>
      <c r="I203" s="5"/>
      <c r="J203" s="21" t="str">
        <f t="shared" si="7"/>
        <v/>
      </c>
      <c r="K203" s="17" t="str">
        <f>IF(I203="","",MATCH($I203,Settings!$F$5:$F$46,0))</f>
        <v/>
      </c>
      <c r="L203" s="18"/>
    </row>
    <row r="204" spans="2:12" x14ac:dyDescent="0.25">
      <c r="B204" s="16"/>
      <c r="C204" s="17" t="str">
        <f>IF(B204="","",IF(AND($B204&gt;=Settings!$C$10,$B204&lt;=Settings!$C$11),"OK","ERROR"))</f>
        <v/>
      </c>
      <c r="D204" s="18"/>
      <c r="E204" s="5"/>
      <c r="F204" s="19"/>
      <c r="G204" s="20" t="str">
        <f t="shared" si="6"/>
        <v/>
      </c>
      <c r="H204" s="18"/>
      <c r="I204" s="5"/>
      <c r="J204" s="21" t="str">
        <f t="shared" si="7"/>
        <v/>
      </c>
      <c r="K204" s="17" t="str">
        <f>IF(I204="","",MATCH($I204,Settings!$F$5:$F$46,0))</f>
        <v/>
      </c>
      <c r="L204" s="18"/>
    </row>
    <row r="205" spans="2:12" x14ac:dyDescent="0.25">
      <c r="B205" s="16"/>
      <c r="C205" s="17" t="str">
        <f>IF(B205="","",IF(AND($B205&gt;=Settings!$C$10,$B205&lt;=Settings!$C$11),"OK","ERROR"))</f>
        <v/>
      </c>
      <c r="D205" s="18"/>
      <c r="E205" s="5"/>
      <c r="F205" s="19"/>
      <c r="G205" s="20" t="str">
        <f t="shared" si="6"/>
        <v/>
      </c>
      <c r="H205" s="18"/>
      <c r="I205" s="5"/>
      <c r="J205" s="21" t="str">
        <f t="shared" si="7"/>
        <v/>
      </c>
      <c r="K205" s="17" t="str">
        <f>IF(I205="","",MATCH($I205,Settings!$F$5:$F$46,0))</f>
        <v/>
      </c>
      <c r="L205" s="18"/>
    </row>
    <row r="206" spans="2:12" x14ac:dyDescent="0.25">
      <c r="B206" s="16"/>
      <c r="C206" s="17" t="str">
        <f>IF(B206="","",IF(AND($B206&gt;=Settings!$C$10,$B206&lt;=Settings!$C$11),"OK","ERROR"))</f>
        <v/>
      </c>
      <c r="D206" s="18"/>
      <c r="E206" s="5"/>
      <c r="F206" s="19"/>
      <c r="G206" s="20" t="str">
        <f t="shared" si="6"/>
        <v/>
      </c>
      <c r="H206" s="18"/>
      <c r="I206" s="5"/>
      <c r="J206" s="21" t="str">
        <f t="shared" si="7"/>
        <v/>
      </c>
      <c r="K206" s="17" t="str">
        <f>IF(I206="","",MATCH($I206,Settings!$F$5:$F$46,0))</f>
        <v/>
      </c>
      <c r="L206" s="18"/>
    </row>
    <row r="207" spans="2:12" x14ac:dyDescent="0.25">
      <c r="B207" s="16"/>
      <c r="C207" s="17" t="str">
        <f>IF(B207="","",IF(AND($B207&gt;=Settings!$C$10,$B207&lt;=Settings!$C$11),"OK","ERROR"))</f>
        <v/>
      </c>
      <c r="D207" s="18"/>
      <c r="E207" s="5"/>
      <c r="F207" s="19"/>
      <c r="G207" s="20" t="str">
        <f t="shared" si="6"/>
        <v/>
      </c>
      <c r="H207" s="18"/>
      <c r="I207" s="5"/>
      <c r="J207" s="21" t="str">
        <f t="shared" si="7"/>
        <v/>
      </c>
      <c r="K207" s="17" t="str">
        <f>IF(I207="","",MATCH($I207,Settings!$F$5:$F$46,0))</f>
        <v/>
      </c>
      <c r="L207" s="18"/>
    </row>
    <row r="208" spans="2:12" x14ac:dyDescent="0.25">
      <c r="B208" s="16"/>
      <c r="C208" s="17" t="str">
        <f>IF(B208="","",IF(AND($B208&gt;=Settings!$C$10,$B208&lt;=Settings!$C$11),"OK","ERROR"))</f>
        <v/>
      </c>
      <c r="D208" s="18"/>
      <c r="E208" s="5"/>
      <c r="F208" s="19"/>
      <c r="G208" s="20" t="str">
        <f t="shared" si="6"/>
        <v/>
      </c>
      <c r="H208" s="18"/>
      <c r="I208" s="5"/>
      <c r="J208" s="21" t="str">
        <f t="shared" si="7"/>
        <v/>
      </c>
      <c r="K208" s="17" t="str">
        <f>IF(I208="","",MATCH($I208,Settings!$F$5:$F$46,0))</f>
        <v/>
      </c>
      <c r="L208" s="18"/>
    </row>
    <row r="209" spans="2:12" x14ac:dyDescent="0.25">
      <c r="B209" s="16"/>
      <c r="C209" s="17" t="str">
        <f>IF(B209="","",IF(AND($B209&gt;=Settings!$C$10,$B209&lt;=Settings!$C$11),"OK","ERROR"))</f>
        <v/>
      </c>
      <c r="D209" s="18"/>
      <c r="E209" s="5"/>
      <c r="F209" s="19"/>
      <c r="G209" s="20" t="str">
        <f t="shared" si="6"/>
        <v/>
      </c>
      <c r="H209" s="18"/>
      <c r="I209" s="5"/>
      <c r="J209" s="21" t="str">
        <f t="shared" si="7"/>
        <v/>
      </c>
      <c r="K209" s="17" t="str">
        <f>IF(I209="","",MATCH($I209,Settings!$F$5:$F$46,0))</f>
        <v/>
      </c>
      <c r="L209" s="18"/>
    </row>
    <row r="210" spans="2:12" x14ac:dyDescent="0.25">
      <c r="B210" s="16"/>
      <c r="C210" s="17" t="str">
        <f>IF(B210="","",IF(AND($B210&gt;=Settings!$C$10,$B210&lt;=Settings!$C$11),"OK","ERROR"))</f>
        <v/>
      </c>
      <c r="D210" s="18"/>
      <c r="E210" s="5"/>
      <c r="F210" s="19"/>
      <c r="G210" s="20" t="str">
        <f t="shared" si="6"/>
        <v/>
      </c>
      <c r="H210" s="18"/>
      <c r="I210" s="5"/>
      <c r="J210" s="21" t="str">
        <f t="shared" si="7"/>
        <v/>
      </c>
      <c r="K210" s="17" t="str">
        <f>IF(I210="","",MATCH($I210,Settings!$F$5:$F$46,0))</f>
        <v/>
      </c>
      <c r="L210" s="18"/>
    </row>
    <row r="211" spans="2:12" x14ac:dyDescent="0.25">
      <c r="B211" s="16"/>
      <c r="C211" s="17" t="str">
        <f>IF(B211="","",IF(AND($B211&gt;=Settings!$C$10,$B211&lt;=Settings!$C$11),"OK","ERROR"))</f>
        <v/>
      </c>
      <c r="D211" s="18"/>
      <c r="E211" s="5"/>
      <c r="F211" s="19"/>
      <c r="G211" s="20" t="str">
        <f t="shared" si="6"/>
        <v/>
      </c>
      <c r="H211" s="18"/>
      <c r="I211" s="5"/>
      <c r="J211" s="21" t="str">
        <f t="shared" si="7"/>
        <v/>
      </c>
      <c r="K211" s="17" t="str">
        <f>IF(I211="","",MATCH($I211,Settings!$F$5:$F$46,0))</f>
        <v/>
      </c>
      <c r="L211" s="18"/>
    </row>
    <row r="212" spans="2:12" x14ac:dyDescent="0.25">
      <c r="B212" s="16"/>
      <c r="C212" s="17" t="str">
        <f>IF(B212="","",IF(AND($B212&gt;=Settings!$C$10,$B212&lt;=Settings!$C$11),"OK","ERROR"))</f>
        <v/>
      </c>
      <c r="D212" s="18"/>
      <c r="E212" s="5"/>
      <c r="F212" s="19"/>
      <c r="G212" s="20" t="str">
        <f t="shared" si="6"/>
        <v/>
      </c>
      <c r="H212" s="18"/>
      <c r="I212" s="5"/>
      <c r="J212" s="21" t="str">
        <f t="shared" si="7"/>
        <v/>
      </c>
      <c r="K212" s="17" t="str">
        <f>IF(I212="","",MATCH($I212,Settings!$F$5:$F$46,0))</f>
        <v/>
      </c>
      <c r="L212" s="18"/>
    </row>
    <row r="213" spans="2:12" x14ac:dyDescent="0.25">
      <c r="B213" s="16"/>
      <c r="C213" s="17" t="str">
        <f>IF(B213="","",IF(AND($B213&gt;=Settings!$C$10,$B213&lt;=Settings!$C$11),"OK","ERROR"))</f>
        <v/>
      </c>
      <c r="D213" s="18"/>
      <c r="E213" s="5"/>
      <c r="F213" s="19"/>
      <c r="G213" s="20" t="str">
        <f t="shared" si="6"/>
        <v/>
      </c>
      <c r="H213" s="18"/>
      <c r="I213" s="5"/>
      <c r="J213" s="21" t="str">
        <f t="shared" si="7"/>
        <v/>
      </c>
      <c r="K213" s="17" t="str">
        <f>IF(I213="","",MATCH($I213,Settings!$F$5:$F$46,0))</f>
        <v/>
      </c>
      <c r="L213" s="18"/>
    </row>
    <row r="214" spans="2:12" x14ac:dyDescent="0.25">
      <c r="B214" s="16"/>
      <c r="C214" s="17" t="str">
        <f>IF(B214="","",IF(AND($B214&gt;=Settings!$C$10,$B214&lt;=Settings!$C$11),"OK","ERROR"))</f>
        <v/>
      </c>
      <c r="D214" s="18"/>
      <c r="E214" s="5"/>
      <c r="F214" s="19"/>
      <c r="G214" s="20" t="str">
        <f t="shared" si="6"/>
        <v/>
      </c>
      <c r="H214" s="18"/>
      <c r="I214" s="5"/>
      <c r="J214" s="21" t="str">
        <f t="shared" si="7"/>
        <v/>
      </c>
      <c r="K214" s="17" t="str">
        <f>IF(I214="","",MATCH($I214,Settings!$F$5:$F$46,0))</f>
        <v/>
      </c>
      <c r="L214" s="18"/>
    </row>
    <row r="215" spans="2:12" x14ac:dyDescent="0.25">
      <c r="B215" s="16"/>
      <c r="C215" s="17" t="str">
        <f>IF(B215="","",IF(AND($B215&gt;=Settings!$C$10,$B215&lt;=Settings!$C$11),"OK","ERROR"))</f>
        <v/>
      </c>
      <c r="D215" s="18"/>
      <c r="E215" s="5"/>
      <c r="F215" s="19"/>
      <c r="G215" s="20" t="str">
        <f t="shared" si="6"/>
        <v/>
      </c>
      <c r="H215" s="18"/>
      <c r="I215" s="5"/>
      <c r="J215" s="21" t="str">
        <f t="shared" si="7"/>
        <v/>
      </c>
      <c r="K215" s="17" t="str">
        <f>IF(I215="","",MATCH($I215,Settings!$F$5:$F$46,0))</f>
        <v/>
      </c>
      <c r="L215" s="18"/>
    </row>
    <row r="216" spans="2:12" x14ac:dyDescent="0.25">
      <c r="B216" s="16"/>
      <c r="C216" s="17" t="str">
        <f>IF(B216="","",IF(AND($B216&gt;=Settings!$C$10,$B216&lt;=Settings!$C$11),"OK","ERROR"))</f>
        <v/>
      </c>
      <c r="D216" s="18"/>
      <c r="E216" s="5"/>
      <c r="F216" s="19"/>
      <c r="G216" s="20" t="str">
        <f t="shared" si="6"/>
        <v/>
      </c>
      <c r="H216" s="18"/>
      <c r="I216" s="5"/>
      <c r="J216" s="21" t="str">
        <f t="shared" si="7"/>
        <v/>
      </c>
      <c r="K216" s="17" t="str">
        <f>IF(I216="","",MATCH($I216,Settings!$F$5:$F$46,0))</f>
        <v/>
      </c>
      <c r="L216" s="18"/>
    </row>
    <row r="217" spans="2:12" x14ac:dyDescent="0.25">
      <c r="B217" s="16"/>
      <c r="C217" s="17" t="str">
        <f>IF(B217="","",IF(AND($B217&gt;=Settings!$C$10,$B217&lt;=Settings!$C$11),"OK","ERROR"))</f>
        <v/>
      </c>
      <c r="D217" s="18"/>
      <c r="E217" s="5"/>
      <c r="F217" s="19"/>
      <c r="G217" s="20" t="str">
        <f t="shared" si="6"/>
        <v/>
      </c>
      <c r="H217" s="18"/>
      <c r="I217" s="5"/>
      <c r="J217" s="21" t="str">
        <f t="shared" si="7"/>
        <v/>
      </c>
      <c r="K217" s="17" t="str">
        <f>IF(I217="","",MATCH($I217,Settings!$F$5:$F$46,0))</f>
        <v/>
      </c>
      <c r="L217" s="18"/>
    </row>
    <row r="218" spans="2:12" x14ac:dyDescent="0.25">
      <c r="B218" s="16"/>
      <c r="C218" s="17" t="str">
        <f>IF(B218="","",IF(AND($B218&gt;=Settings!$C$10,$B218&lt;=Settings!$C$11),"OK","ERROR"))</f>
        <v/>
      </c>
      <c r="D218" s="18"/>
      <c r="E218" s="5"/>
      <c r="F218" s="19"/>
      <c r="G218" s="20" t="str">
        <f t="shared" si="6"/>
        <v/>
      </c>
      <c r="H218" s="18"/>
      <c r="I218" s="5"/>
      <c r="J218" s="21" t="str">
        <f t="shared" si="7"/>
        <v/>
      </c>
      <c r="K218" s="17" t="str">
        <f>IF(I218="","",MATCH($I218,Settings!$F$5:$F$46,0))</f>
        <v/>
      </c>
      <c r="L218" s="18"/>
    </row>
    <row r="219" spans="2:12" x14ac:dyDescent="0.25">
      <c r="B219" s="16"/>
      <c r="C219" s="17" t="str">
        <f>IF(B219="","",IF(AND($B219&gt;=Settings!$C$10,$B219&lt;=Settings!$C$11),"OK","ERROR"))</f>
        <v/>
      </c>
      <c r="D219" s="18"/>
      <c r="E219" s="5"/>
      <c r="F219" s="19"/>
      <c r="G219" s="20" t="str">
        <f t="shared" si="6"/>
        <v/>
      </c>
      <c r="H219" s="18"/>
      <c r="I219" s="5"/>
      <c r="J219" s="21" t="str">
        <f t="shared" si="7"/>
        <v/>
      </c>
      <c r="K219" s="17" t="str">
        <f>IF(I219="","",MATCH($I219,Settings!$F$5:$F$46,0))</f>
        <v/>
      </c>
      <c r="L219" s="18"/>
    </row>
    <row r="220" spans="2:12" x14ac:dyDescent="0.25">
      <c r="B220" s="16"/>
      <c r="C220" s="17" t="str">
        <f>IF(B220="","",IF(AND($B220&gt;=Settings!$C$10,$B220&lt;=Settings!$C$11),"OK","ERROR"))</f>
        <v/>
      </c>
      <c r="D220" s="18"/>
      <c r="E220" s="5"/>
      <c r="F220" s="19"/>
      <c r="G220" s="20" t="str">
        <f t="shared" si="6"/>
        <v/>
      </c>
      <c r="H220" s="18"/>
      <c r="I220" s="5"/>
      <c r="J220" s="21" t="str">
        <f t="shared" si="7"/>
        <v/>
      </c>
      <c r="K220" s="17" t="str">
        <f>IF(I220="","",MATCH($I220,Settings!$F$5:$F$46,0))</f>
        <v/>
      </c>
      <c r="L220" s="18"/>
    </row>
    <row r="221" spans="2:12" x14ac:dyDescent="0.25">
      <c r="B221" s="16"/>
      <c r="C221" s="17" t="str">
        <f>IF(B221="","",IF(AND($B221&gt;=Settings!$C$10,$B221&lt;=Settings!$C$11),"OK","ERROR"))</f>
        <v/>
      </c>
      <c r="D221" s="18"/>
      <c r="E221" s="5"/>
      <c r="F221" s="19"/>
      <c r="G221" s="20" t="str">
        <f t="shared" si="6"/>
        <v/>
      </c>
      <c r="H221" s="18"/>
      <c r="I221" s="5"/>
      <c r="J221" s="21" t="str">
        <f t="shared" si="7"/>
        <v/>
      </c>
      <c r="K221" s="17" t="str">
        <f>IF(I221="","",MATCH($I221,Settings!$F$5:$F$46,0))</f>
        <v/>
      </c>
      <c r="L221" s="18"/>
    </row>
    <row r="222" spans="2:12" x14ac:dyDescent="0.25">
      <c r="B222" s="16"/>
      <c r="C222" s="17" t="str">
        <f>IF(B222="","",IF(AND($B222&gt;=Settings!$C$10,$B222&lt;=Settings!$C$11),"OK","ERROR"))</f>
        <v/>
      </c>
      <c r="D222" s="18"/>
      <c r="E222" s="5"/>
      <c r="F222" s="19"/>
      <c r="G222" s="20" t="str">
        <f t="shared" si="6"/>
        <v/>
      </c>
      <c r="H222" s="18"/>
      <c r="I222" s="5"/>
      <c r="J222" s="21" t="str">
        <f t="shared" si="7"/>
        <v/>
      </c>
      <c r="K222" s="17" t="str">
        <f>IF(I222="","",MATCH($I222,Settings!$F$5:$F$46,0))</f>
        <v/>
      </c>
      <c r="L222" s="18"/>
    </row>
    <row r="223" spans="2:12" x14ac:dyDescent="0.25">
      <c r="B223" s="16"/>
      <c r="C223" s="17" t="str">
        <f>IF(B223="","",IF(AND($B223&gt;=Settings!$C$10,$B223&lt;=Settings!$C$11),"OK","ERROR"))</f>
        <v/>
      </c>
      <c r="D223" s="18"/>
      <c r="E223" s="5"/>
      <c r="F223" s="19"/>
      <c r="G223" s="20" t="str">
        <f t="shared" si="6"/>
        <v/>
      </c>
      <c r="H223" s="18"/>
      <c r="I223" s="5"/>
      <c r="J223" s="21" t="str">
        <f t="shared" si="7"/>
        <v/>
      </c>
      <c r="K223" s="17" t="str">
        <f>IF(I223="","",MATCH($I223,Settings!$F$5:$F$46,0))</f>
        <v/>
      </c>
      <c r="L223" s="18"/>
    </row>
    <row r="224" spans="2:12" x14ac:dyDescent="0.25">
      <c r="B224" s="16"/>
      <c r="C224" s="17" t="str">
        <f>IF(B224="","",IF(AND($B224&gt;=Settings!$C$10,$B224&lt;=Settings!$C$11),"OK","ERROR"))</f>
        <v/>
      </c>
      <c r="D224" s="18"/>
      <c r="E224" s="5"/>
      <c r="F224" s="19"/>
      <c r="G224" s="20" t="str">
        <f t="shared" si="6"/>
        <v/>
      </c>
      <c r="H224" s="18"/>
      <c r="I224" s="5"/>
      <c r="J224" s="21" t="str">
        <f t="shared" si="7"/>
        <v/>
      </c>
      <c r="K224" s="17" t="str">
        <f>IF(I224="","",MATCH($I224,Settings!$F$5:$F$46,0))</f>
        <v/>
      </c>
      <c r="L224" s="18"/>
    </row>
    <row r="225" spans="2:12" x14ac:dyDescent="0.25">
      <c r="B225" s="16"/>
      <c r="C225" s="17" t="str">
        <f>IF(B225="","",IF(AND($B225&gt;=Settings!$C$10,$B225&lt;=Settings!$C$11),"OK","ERROR"))</f>
        <v/>
      </c>
      <c r="D225" s="18"/>
      <c r="E225" s="5"/>
      <c r="F225" s="19"/>
      <c r="G225" s="20" t="str">
        <f t="shared" si="6"/>
        <v/>
      </c>
      <c r="H225" s="18"/>
      <c r="I225" s="5"/>
      <c r="J225" s="21" t="str">
        <f t="shared" si="7"/>
        <v/>
      </c>
      <c r="K225" s="17" t="str">
        <f>IF(I225="","",MATCH($I225,Settings!$F$5:$F$46,0))</f>
        <v/>
      </c>
      <c r="L225" s="18"/>
    </row>
    <row r="226" spans="2:12" x14ac:dyDescent="0.25">
      <c r="B226" s="16"/>
      <c r="C226" s="17" t="str">
        <f>IF(B226="","",IF(AND($B226&gt;=Settings!$C$10,$B226&lt;=Settings!$C$11),"OK","ERROR"))</f>
        <v/>
      </c>
      <c r="D226" s="18"/>
      <c r="E226" s="5"/>
      <c r="F226" s="19"/>
      <c r="G226" s="20" t="str">
        <f t="shared" si="6"/>
        <v/>
      </c>
      <c r="H226" s="18"/>
      <c r="I226" s="5"/>
      <c r="J226" s="21" t="str">
        <f t="shared" si="7"/>
        <v/>
      </c>
      <c r="K226" s="17" t="str">
        <f>IF(I226="","",MATCH($I226,Settings!$F$5:$F$46,0))</f>
        <v/>
      </c>
      <c r="L226" s="18"/>
    </row>
    <row r="227" spans="2:12" x14ac:dyDescent="0.25">
      <c r="B227" s="16"/>
      <c r="C227" s="17" t="str">
        <f>IF(B227="","",IF(AND($B227&gt;=Settings!$C$10,$B227&lt;=Settings!$C$11),"OK","ERROR"))</f>
        <v/>
      </c>
      <c r="D227" s="18"/>
      <c r="E227" s="5"/>
      <c r="F227" s="19"/>
      <c r="G227" s="20" t="str">
        <f t="shared" si="6"/>
        <v/>
      </c>
      <c r="H227" s="18"/>
      <c r="I227" s="5"/>
      <c r="J227" s="21" t="str">
        <f t="shared" si="7"/>
        <v/>
      </c>
      <c r="K227" s="17" t="str">
        <f>IF(I227="","",MATCH($I227,Settings!$F$5:$F$46,0))</f>
        <v/>
      </c>
      <c r="L227" s="18"/>
    </row>
    <row r="228" spans="2:12" x14ac:dyDescent="0.25">
      <c r="B228" s="16"/>
      <c r="C228" s="17" t="str">
        <f>IF(B228="","",IF(AND($B228&gt;=Settings!$C$10,$B228&lt;=Settings!$C$11),"OK","ERROR"))</f>
        <v/>
      </c>
      <c r="D228" s="18"/>
      <c r="E228" s="5"/>
      <c r="F228" s="19"/>
      <c r="G228" s="20" t="str">
        <f t="shared" si="6"/>
        <v/>
      </c>
      <c r="H228" s="18"/>
      <c r="I228" s="5"/>
      <c r="J228" s="21" t="str">
        <f t="shared" si="7"/>
        <v/>
      </c>
      <c r="K228" s="17" t="str">
        <f>IF(I228="","",MATCH($I228,Settings!$F$5:$F$46,0))</f>
        <v/>
      </c>
      <c r="L228" s="18"/>
    </row>
    <row r="229" spans="2:12" x14ac:dyDescent="0.25">
      <c r="B229" s="16"/>
      <c r="C229" s="17" t="str">
        <f>IF(B229="","",IF(AND($B229&gt;=Settings!$C$10,$B229&lt;=Settings!$C$11),"OK","ERROR"))</f>
        <v/>
      </c>
      <c r="D229" s="18"/>
      <c r="E229" s="5"/>
      <c r="F229" s="19"/>
      <c r="G229" s="20" t="str">
        <f t="shared" si="6"/>
        <v/>
      </c>
      <c r="H229" s="18"/>
      <c r="I229" s="5"/>
      <c r="J229" s="21" t="str">
        <f t="shared" si="7"/>
        <v/>
      </c>
      <c r="K229" s="17" t="str">
        <f>IF(I229="","",MATCH($I229,Settings!$F$5:$F$46,0))</f>
        <v/>
      </c>
      <c r="L229" s="18"/>
    </row>
    <row r="230" spans="2:12" x14ac:dyDescent="0.25">
      <c r="B230" s="16"/>
      <c r="C230" s="17" t="str">
        <f>IF(B230="","",IF(AND($B230&gt;=Settings!$C$10,$B230&lt;=Settings!$C$11),"OK","ERROR"))</f>
        <v/>
      </c>
      <c r="D230" s="18"/>
      <c r="E230" s="5"/>
      <c r="F230" s="19"/>
      <c r="G230" s="20" t="str">
        <f t="shared" si="6"/>
        <v/>
      </c>
      <c r="H230" s="18"/>
      <c r="I230" s="5"/>
      <c r="J230" s="21" t="str">
        <f t="shared" si="7"/>
        <v/>
      </c>
      <c r="K230" s="17" t="str">
        <f>IF(I230="","",MATCH($I230,Settings!$F$5:$F$46,0))</f>
        <v/>
      </c>
      <c r="L230" s="18"/>
    </row>
    <row r="231" spans="2:12" x14ac:dyDescent="0.25">
      <c r="B231" s="16"/>
      <c r="C231" s="17" t="str">
        <f>IF(B231="","",IF(AND($B231&gt;=Settings!$C$10,$B231&lt;=Settings!$C$11),"OK","ERROR"))</f>
        <v/>
      </c>
      <c r="D231" s="18"/>
      <c r="E231" s="5"/>
      <c r="F231" s="19"/>
      <c r="G231" s="20" t="str">
        <f t="shared" si="6"/>
        <v/>
      </c>
      <c r="H231" s="18"/>
      <c r="I231" s="5"/>
      <c r="J231" s="21" t="str">
        <f t="shared" si="7"/>
        <v/>
      </c>
      <c r="K231" s="17" t="str">
        <f>IF(I231="","",MATCH($I231,Settings!$F$5:$F$46,0))</f>
        <v/>
      </c>
      <c r="L231" s="18"/>
    </row>
    <row r="232" spans="2:12" x14ac:dyDescent="0.25">
      <c r="B232" s="16"/>
      <c r="C232" s="17" t="str">
        <f>IF(B232="","",IF(AND($B232&gt;=Settings!$C$10,$B232&lt;=Settings!$C$11),"OK","ERROR"))</f>
        <v/>
      </c>
      <c r="D232" s="18"/>
      <c r="E232" s="5"/>
      <c r="F232" s="19"/>
      <c r="G232" s="20" t="str">
        <f t="shared" si="6"/>
        <v/>
      </c>
      <c r="H232" s="18"/>
      <c r="I232" s="5"/>
      <c r="J232" s="21" t="str">
        <f t="shared" si="7"/>
        <v/>
      </c>
      <c r="K232" s="17" t="str">
        <f>IF(I232="","",MATCH($I232,Settings!$F$5:$F$46,0))</f>
        <v/>
      </c>
      <c r="L232" s="18"/>
    </row>
    <row r="233" spans="2:12" x14ac:dyDescent="0.25">
      <c r="B233" s="16"/>
      <c r="C233" s="17" t="str">
        <f>IF(B233="","",IF(AND($B233&gt;=Settings!$C$10,$B233&lt;=Settings!$C$11),"OK","ERROR"))</f>
        <v/>
      </c>
      <c r="D233" s="18"/>
      <c r="E233" s="5"/>
      <c r="F233" s="19"/>
      <c r="G233" s="20" t="str">
        <f t="shared" si="6"/>
        <v/>
      </c>
      <c r="H233" s="18"/>
      <c r="I233" s="5"/>
      <c r="J233" s="21" t="str">
        <f t="shared" si="7"/>
        <v/>
      </c>
      <c r="K233" s="17" t="str">
        <f>IF(I233="","",MATCH($I233,Settings!$F$5:$F$46,0))</f>
        <v/>
      </c>
      <c r="L233" s="18"/>
    </row>
    <row r="234" spans="2:12" x14ac:dyDescent="0.25">
      <c r="B234" s="16"/>
      <c r="C234" s="17" t="str">
        <f>IF(B234="","",IF(AND($B234&gt;=Settings!$C$10,$B234&lt;=Settings!$C$11),"OK","ERROR"))</f>
        <v/>
      </c>
      <c r="D234" s="18"/>
      <c r="E234" s="5"/>
      <c r="F234" s="19"/>
      <c r="G234" s="20" t="str">
        <f t="shared" si="6"/>
        <v/>
      </c>
      <c r="H234" s="18"/>
      <c r="I234" s="5"/>
      <c r="J234" s="21" t="str">
        <f t="shared" si="7"/>
        <v/>
      </c>
      <c r="K234" s="17" t="str">
        <f>IF(I234="","",MATCH($I234,Settings!$F$5:$F$46,0))</f>
        <v/>
      </c>
      <c r="L234" s="18"/>
    </row>
    <row r="235" spans="2:12" x14ac:dyDescent="0.25">
      <c r="B235" s="16"/>
      <c r="C235" s="17" t="str">
        <f>IF(B235="","",IF(AND($B235&gt;=Settings!$C$10,$B235&lt;=Settings!$C$11),"OK","ERROR"))</f>
        <v/>
      </c>
      <c r="D235" s="18"/>
      <c r="E235" s="5"/>
      <c r="F235" s="19"/>
      <c r="G235" s="20" t="str">
        <f t="shared" si="6"/>
        <v/>
      </c>
      <c r="H235" s="18"/>
      <c r="I235" s="5"/>
      <c r="J235" s="21" t="str">
        <f t="shared" si="7"/>
        <v/>
      </c>
      <c r="K235" s="17" t="str">
        <f>IF(I235="","",MATCH($I235,Settings!$F$5:$F$46,0))</f>
        <v/>
      </c>
      <c r="L235" s="18"/>
    </row>
    <row r="236" spans="2:12" x14ac:dyDescent="0.25">
      <c r="B236" s="16"/>
      <c r="C236" s="17" t="str">
        <f>IF(B236="","",IF(AND($B236&gt;=Settings!$C$10,$B236&lt;=Settings!$C$11),"OK","ERROR"))</f>
        <v/>
      </c>
      <c r="D236" s="18"/>
      <c r="E236" s="5"/>
      <c r="F236" s="19"/>
      <c r="G236" s="20" t="str">
        <f t="shared" si="6"/>
        <v/>
      </c>
      <c r="H236" s="18"/>
      <c r="I236" s="5"/>
      <c r="J236" s="21" t="str">
        <f t="shared" si="7"/>
        <v/>
      </c>
      <c r="K236" s="17" t="str">
        <f>IF(I236="","",MATCH($I236,Settings!$F$5:$F$46,0))</f>
        <v/>
      </c>
      <c r="L236" s="18"/>
    </row>
    <row r="237" spans="2:12" x14ac:dyDescent="0.25">
      <c r="B237" s="16"/>
      <c r="C237" s="17" t="str">
        <f>IF(B237="","",IF(AND($B237&gt;=Settings!$C$10,$B237&lt;=Settings!$C$11),"OK","ERROR"))</f>
        <v/>
      </c>
      <c r="D237" s="18"/>
      <c r="E237" s="5"/>
      <c r="F237" s="19"/>
      <c r="G237" s="20" t="str">
        <f t="shared" si="6"/>
        <v/>
      </c>
      <c r="H237" s="18"/>
      <c r="I237" s="5"/>
      <c r="J237" s="21" t="str">
        <f t="shared" si="7"/>
        <v/>
      </c>
      <c r="K237" s="17" t="str">
        <f>IF(I237="","",MATCH($I237,Settings!$F$5:$F$46,0))</f>
        <v/>
      </c>
      <c r="L237" s="18"/>
    </row>
    <row r="238" spans="2:12" x14ac:dyDescent="0.25">
      <c r="B238" s="16"/>
      <c r="C238" s="17" t="str">
        <f>IF(B238="","",IF(AND($B238&gt;=Settings!$C$10,$B238&lt;=Settings!$C$11),"OK","ERROR"))</f>
        <v/>
      </c>
      <c r="D238" s="18"/>
      <c r="E238" s="5"/>
      <c r="F238" s="19"/>
      <c r="G238" s="20" t="str">
        <f t="shared" si="6"/>
        <v/>
      </c>
      <c r="H238" s="18"/>
      <c r="I238" s="5"/>
      <c r="J238" s="21" t="str">
        <f t="shared" si="7"/>
        <v/>
      </c>
      <c r="K238" s="17" t="str">
        <f>IF(I238="","",MATCH($I238,Settings!$F$5:$F$46,0))</f>
        <v/>
      </c>
      <c r="L238" s="18"/>
    </row>
    <row r="239" spans="2:12" x14ac:dyDescent="0.25">
      <c r="B239" s="16"/>
      <c r="C239" s="17" t="str">
        <f>IF(B239="","",IF(AND($B239&gt;=Settings!$C$10,$B239&lt;=Settings!$C$11),"OK","ERROR"))</f>
        <v/>
      </c>
      <c r="D239" s="18"/>
      <c r="E239" s="5"/>
      <c r="F239" s="19"/>
      <c r="G239" s="20" t="str">
        <f t="shared" si="6"/>
        <v/>
      </c>
      <c r="H239" s="18"/>
      <c r="I239" s="5"/>
      <c r="J239" s="21" t="str">
        <f t="shared" si="7"/>
        <v/>
      </c>
      <c r="K239" s="17" t="str">
        <f>IF(I239="","",MATCH($I239,Settings!$F$5:$F$46,0))</f>
        <v/>
      </c>
      <c r="L239" s="18"/>
    </row>
    <row r="240" spans="2:12" x14ac:dyDescent="0.25">
      <c r="B240" s="16"/>
      <c r="C240" s="17" t="str">
        <f>IF(B240="","",IF(AND($B240&gt;=Settings!$C$10,$B240&lt;=Settings!$C$11),"OK","ERROR"))</f>
        <v/>
      </c>
      <c r="D240" s="18"/>
      <c r="E240" s="5"/>
      <c r="F240" s="19"/>
      <c r="G240" s="20" t="str">
        <f t="shared" si="6"/>
        <v/>
      </c>
      <c r="H240" s="18"/>
      <c r="I240" s="5"/>
      <c r="J240" s="21" t="str">
        <f t="shared" si="7"/>
        <v/>
      </c>
      <c r="K240" s="17" t="str">
        <f>IF(I240="","",MATCH($I240,Settings!$F$5:$F$46,0))</f>
        <v/>
      </c>
      <c r="L240" s="18"/>
    </row>
    <row r="241" spans="2:12" x14ac:dyDescent="0.25">
      <c r="B241" s="16"/>
      <c r="C241" s="17" t="str">
        <f>IF(B241="","",IF(AND($B241&gt;=Settings!$C$10,$B241&lt;=Settings!$C$11),"OK","ERROR"))</f>
        <v/>
      </c>
      <c r="D241" s="18"/>
      <c r="E241" s="5"/>
      <c r="F241" s="19"/>
      <c r="G241" s="20" t="str">
        <f t="shared" si="6"/>
        <v/>
      </c>
      <c r="H241" s="18"/>
      <c r="I241" s="5"/>
      <c r="J241" s="21" t="str">
        <f t="shared" si="7"/>
        <v/>
      </c>
      <c r="K241" s="17" t="str">
        <f>IF(I241="","",MATCH($I241,Settings!$F$5:$F$46,0))</f>
        <v/>
      </c>
      <c r="L241" s="18"/>
    </row>
    <row r="242" spans="2:12" x14ac:dyDescent="0.25">
      <c r="B242" s="16"/>
      <c r="C242" s="17" t="str">
        <f>IF(B242="","",IF(AND($B242&gt;=Settings!$C$10,$B242&lt;=Settings!$C$11),"OK","ERROR"))</f>
        <v/>
      </c>
      <c r="D242" s="18"/>
      <c r="E242" s="5"/>
      <c r="F242" s="19"/>
      <c r="G242" s="20" t="str">
        <f t="shared" si="6"/>
        <v/>
      </c>
      <c r="H242" s="18"/>
      <c r="I242" s="5"/>
      <c r="J242" s="21" t="str">
        <f t="shared" si="7"/>
        <v/>
      </c>
      <c r="K242" s="17" t="str">
        <f>IF(I242="","",MATCH($I242,Settings!$F$5:$F$46,0))</f>
        <v/>
      </c>
      <c r="L242" s="18"/>
    </row>
    <row r="243" spans="2:12" x14ac:dyDescent="0.25">
      <c r="B243" s="16"/>
      <c r="C243" s="17" t="str">
        <f>IF(B243="","",IF(AND($B243&gt;=Settings!$C$10,$B243&lt;=Settings!$C$11),"OK","ERROR"))</f>
        <v/>
      </c>
      <c r="D243" s="18"/>
      <c r="E243" s="5"/>
      <c r="F243" s="19"/>
      <c r="G243" s="20" t="str">
        <f t="shared" si="6"/>
        <v/>
      </c>
      <c r="H243" s="18"/>
      <c r="I243" s="5"/>
      <c r="J243" s="21" t="str">
        <f t="shared" si="7"/>
        <v/>
      </c>
      <c r="K243" s="17" t="str">
        <f>IF(I243="","",MATCH($I243,Settings!$F$5:$F$46,0))</f>
        <v/>
      </c>
      <c r="L243" s="18"/>
    </row>
    <row r="244" spans="2:12" x14ac:dyDescent="0.25">
      <c r="B244" s="16"/>
      <c r="C244" s="17" t="str">
        <f>IF(B244="","",IF(AND($B244&gt;=Settings!$C$10,$B244&lt;=Settings!$C$11),"OK","ERROR"))</f>
        <v/>
      </c>
      <c r="D244" s="18"/>
      <c r="E244" s="5"/>
      <c r="F244" s="19"/>
      <c r="G244" s="20" t="str">
        <f t="shared" si="6"/>
        <v/>
      </c>
      <c r="H244" s="18"/>
      <c r="I244" s="5"/>
      <c r="J244" s="21" t="str">
        <f t="shared" si="7"/>
        <v/>
      </c>
      <c r="K244" s="17" t="str">
        <f>IF(I244="","",MATCH($I244,Settings!$F$5:$F$46,0))</f>
        <v/>
      </c>
      <c r="L244" s="18"/>
    </row>
    <row r="245" spans="2:12" x14ac:dyDescent="0.25">
      <c r="B245" s="16"/>
      <c r="C245" s="17" t="str">
        <f>IF(B245="","",IF(AND($B245&gt;=Settings!$C$10,$B245&lt;=Settings!$C$11),"OK","ERROR"))</f>
        <v/>
      </c>
      <c r="D245" s="18"/>
      <c r="E245" s="5"/>
      <c r="F245" s="19"/>
      <c r="G245" s="20" t="str">
        <f t="shared" si="6"/>
        <v/>
      </c>
      <c r="H245" s="18"/>
      <c r="I245" s="5"/>
      <c r="J245" s="21" t="str">
        <f t="shared" si="7"/>
        <v/>
      </c>
      <c r="K245" s="17" t="str">
        <f>IF(I245="","",MATCH($I245,Settings!$F$5:$F$46,0))</f>
        <v/>
      </c>
      <c r="L245" s="18"/>
    </row>
    <row r="246" spans="2:12" x14ac:dyDescent="0.25">
      <c r="B246" s="16"/>
      <c r="C246" s="17" t="str">
        <f>IF(B246="","",IF(AND($B246&gt;=Settings!$C$10,$B246&lt;=Settings!$C$11),"OK","ERROR"))</f>
        <v/>
      </c>
      <c r="D246" s="18"/>
      <c r="E246" s="5"/>
      <c r="F246" s="19"/>
      <c r="G246" s="20" t="str">
        <f t="shared" si="6"/>
        <v/>
      </c>
      <c r="H246" s="18"/>
      <c r="I246" s="5"/>
      <c r="J246" s="21" t="str">
        <f t="shared" si="7"/>
        <v/>
      </c>
      <c r="K246" s="17" t="str">
        <f>IF(I246="","",MATCH($I246,Settings!$F$5:$F$46,0))</f>
        <v/>
      </c>
      <c r="L246" s="18"/>
    </row>
    <row r="247" spans="2:12" x14ac:dyDescent="0.25">
      <c r="B247" s="16"/>
      <c r="C247" s="17" t="str">
        <f>IF(B247="","",IF(AND($B247&gt;=Settings!$C$10,$B247&lt;=Settings!$C$11),"OK","ERROR"))</f>
        <v/>
      </c>
      <c r="D247" s="18"/>
      <c r="E247" s="5"/>
      <c r="F247" s="19"/>
      <c r="G247" s="20" t="str">
        <f t="shared" si="6"/>
        <v/>
      </c>
      <c r="H247" s="18"/>
      <c r="I247" s="5"/>
      <c r="J247" s="21" t="str">
        <f t="shared" si="7"/>
        <v/>
      </c>
      <c r="K247" s="17" t="str">
        <f>IF(I247="","",MATCH($I247,Settings!$F$5:$F$46,0))</f>
        <v/>
      </c>
      <c r="L247" s="18"/>
    </row>
    <row r="248" spans="2:12" x14ac:dyDescent="0.25">
      <c r="B248" s="16"/>
      <c r="C248" s="17" t="str">
        <f>IF(B248="","",IF(AND($B248&gt;=Settings!$C$10,$B248&lt;=Settings!$C$11),"OK","ERROR"))</f>
        <v/>
      </c>
      <c r="D248" s="18"/>
      <c r="E248" s="5"/>
      <c r="F248" s="19"/>
      <c r="G248" s="20" t="str">
        <f t="shared" si="6"/>
        <v/>
      </c>
      <c r="H248" s="18"/>
      <c r="I248" s="5"/>
      <c r="J248" s="21" t="str">
        <f t="shared" si="7"/>
        <v/>
      </c>
      <c r="K248" s="17" t="str">
        <f>IF(I248="","",MATCH($I248,Settings!$F$5:$F$46,0))</f>
        <v/>
      </c>
      <c r="L248" s="18"/>
    </row>
    <row r="249" spans="2:12" x14ac:dyDescent="0.25">
      <c r="B249" s="16"/>
      <c r="C249" s="17" t="str">
        <f>IF(B249="","",IF(AND($B249&gt;=Settings!$C$10,$B249&lt;=Settings!$C$11),"OK","ERROR"))</f>
        <v/>
      </c>
      <c r="D249" s="18"/>
      <c r="E249" s="5"/>
      <c r="F249" s="19"/>
      <c r="G249" s="20" t="str">
        <f t="shared" si="6"/>
        <v/>
      </c>
      <c r="H249" s="18"/>
      <c r="I249" s="5"/>
      <c r="J249" s="21" t="str">
        <f t="shared" si="7"/>
        <v/>
      </c>
      <c r="K249" s="17" t="str">
        <f>IF(I249="","",MATCH($I249,Settings!$F$5:$F$46,0))</f>
        <v/>
      </c>
      <c r="L249" s="18"/>
    </row>
    <row r="250" spans="2:12" x14ac:dyDescent="0.25">
      <c r="B250" s="16"/>
      <c r="C250" s="17" t="str">
        <f>IF(B250="","",IF(AND($B250&gt;=Settings!$C$10,$B250&lt;=Settings!$C$11),"OK","ERROR"))</f>
        <v/>
      </c>
      <c r="D250" s="18"/>
      <c r="E250" s="5"/>
      <c r="F250" s="19"/>
      <c r="G250" s="20" t="str">
        <f t="shared" si="6"/>
        <v/>
      </c>
      <c r="H250" s="18"/>
      <c r="I250" s="5"/>
      <c r="J250" s="21" t="str">
        <f t="shared" si="7"/>
        <v/>
      </c>
      <c r="K250" s="17" t="str">
        <f>IF(I250="","",MATCH($I250,Settings!$F$5:$F$46,0))</f>
        <v/>
      </c>
      <c r="L250" s="18"/>
    </row>
    <row r="251" spans="2:12" x14ac:dyDescent="0.25">
      <c r="B251" s="16"/>
      <c r="C251" s="17" t="str">
        <f>IF(B251="","",IF(AND($B251&gt;=Settings!$C$10,$B251&lt;=Settings!$C$11),"OK","ERROR"))</f>
        <v/>
      </c>
      <c r="D251" s="18"/>
      <c r="E251" s="5"/>
      <c r="F251" s="19"/>
      <c r="G251" s="20" t="str">
        <f t="shared" si="6"/>
        <v/>
      </c>
      <c r="H251" s="18"/>
      <c r="I251" s="5"/>
      <c r="J251" s="21" t="str">
        <f t="shared" si="7"/>
        <v/>
      </c>
      <c r="K251" s="17" t="str">
        <f>IF(I251="","",MATCH($I251,Settings!$F$5:$F$46,0))</f>
        <v/>
      </c>
      <c r="L251" s="18"/>
    </row>
    <row r="252" spans="2:12" x14ac:dyDescent="0.25">
      <c r="B252" s="16"/>
      <c r="C252" s="17" t="str">
        <f>IF(B252="","",IF(AND($B252&gt;=Settings!$C$10,$B252&lt;=Settings!$C$11),"OK","ERROR"))</f>
        <v/>
      </c>
      <c r="D252" s="18"/>
      <c r="E252" s="5"/>
      <c r="F252" s="19"/>
      <c r="G252" s="20" t="str">
        <f t="shared" si="6"/>
        <v/>
      </c>
      <c r="H252" s="18"/>
      <c r="I252" s="5"/>
      <c r="J252" s="21" t="str">
        <f t="shared" si="7"/>
        <v/>
      </c>
      <c r="K252" s="17" t="str">
        <f>IF(I252="","",MATCH($I252,Settings!$F$5:$F$46,0))</f>
        <v/>
      </c>
      <c r="L252" s="18"/>
    </row>
    <row r="253" spans="2:12" x14ac:dyDescent="0.25">
      <c r="B253" s="16"/>
      <c r="C253" s="17" t="str">
        <f>IF(B253="","",IF(AND($B253&gt;=Settings!$C$10,$B253&lt;=Settings!$C$11),"OK","ERROR"))</f>
        <v/>
      </c>
      <c r="D253" s="18"/>
      <c r="E253" s="5"/>
      <c r="F253" s="19"/>
      <c r="G253" s="20" t="str">
        <f t="shared" si="6"/>
        <v/>
      </c>
      <c r="H253" s="18"/>
      <c r="I253" s="5"/>
      <c r="J253" s="21" t="str">
        <f t="shared" si="7"/>
        <v/>
      </c>
      <c r="K253" s="17" t="str">
        <f>IF(I253="","",MATCH($I253,Settings!$F$5:$F$46,0))</f>
        <v/>
      </c>
      <c r="L253" s="18"/>
    </row>
    <row r="254" spans="2:12" x14ac:dyDescent="0.25">
      <c r="B254" s="16"/>
      <c r="C254" s="17" t="str">
        <f>IF(B254="","",IF(AND($B254&gt;=Settings!$C$10,$B254&lt;=Settings!$C$11),"OK","ERROR"))</f>
        <v/>
      </c>
      <c r="D254" s="18"/>
      <c r="E254" s="5"/>
      <c r="F254" s="19"/>
      <c r="G254" s="20" t="str">
        <f t="shared" si="6"/>
        <v/>
      </c>
      <c r="H254" s="18"/>
      <c r="I254" s="5"/>
      <c r="J254" s="21" t="str">
        <f t="shared" si="7"/>
        <v/>
      </c>
      <c r="K254" s="17" t="str">
        <f>IF(I254="","",MATCH($I254,Settings!$F$5:$F$46,0))</f>
        <v/>
      </c>
      <c r="L254" s="18"/>
    </row>
    <row r="255" spans="2:12" x14ac:dyDescent="0.25">
      <c r="B255" s="16"/>
      <c r="C255" s="17" t="str">
        <f>IF(B255="","",IF(AND($B255&gt;=Settings!$C$10,$B255&lt;=Settings!$C$11),"OK","ERROR"))</f>
        <v/>
      </c>
      <c r="D255" s="18"/>
      <c r="E255" s="5"/>
      <c r="F255" s="19"/>
      <c r="G255" s="20" t="str">
        <f t="shared" si="6"/>
        <v/>
      </c>
      <c r="H255" s="18"/>
      <c r="I255" s="5"/>
      <c r="J255" s="21" t="str">
        <f t="shared" si="7"/>
        <v/>
      </c>
      <c r="K255" s="17" t="str">
        <f>IF(I255="","",MATCH($I255,Settings!$F$5:$F$46,0))</f>
        <v/>
      </c>
      <c r="L255" s="18"/>
    </row>
    <row r="256" spans="2:12" x14ac:dyDescent="0.25">
      <c r="B256" s="16"/>
      <c r="C256" s="17" t="str">
        <f>IF(B256="","",IF(AND($B256&gt;=Settings!$C$10,$B256&lt;=Settings!$C$11),"OK","ERROR"))</f>
        <v/>
      </c>
      <c r="D256" s="18"/>
      <c r="E256" s="5"/>
      <c r="F256" s="19"/>
      <c r="G256" s="20" t="str">
        <f t="shared" si="6"/>
        <v/>
      </c>
      <c r="H256" s="18"/>
      <c r="I256" s="5"/>
      <c r="J256" s="21" t="str">
        <f t="shared" si="7"/>
        <v/>
      </c>
      <c r="K256" s="17" t="str">
        <f>IF(I256="","",MATCH($I256,Settings!$F$5:$F$46,0))</f>
        <v/>
      </c>
      <c r="L256" s="18"/>
    </row>
    <row r="257" spans="2:12" x14ac:dyDescent="0.25">
      <c r="B257" s="16"/>
      <c r="C257" s="17" t="str">
        <f>IF(B257="","",IF(AND($B257&gt;=Settings!$C$10,$B257&lt;=Settings!$C$11),"OK","ERROR"))</f>
        <v/>
      </c>
      <c r="D257" s="18"/>
      <c r="E257" s="5"/>
      <c r="F257" s="19"/>
      <c r="G257" s="20" t="str">
        <f t="shared" si="6"/>
        <v/>
      </c>
      <c r="H257" s="18"/>
      <c r="I257" s="5"/>
      <c r="J257" s="21" t="str">
        <f t="shared" si="7"/>
        <v/>
      </c>
      <c r="K257" s="17" t="str">
        <f>IF(I257="","",MATCH($I257,Settings!$F$5:$F$46,0))</f>
        <v/>
      </c>
      <c r="L257" s="18"/>
    </row>
    <row r="258" spans="2:12" x14ac:dyDescent="0.25">
      <c r="B258" s="16"/>
      <c r="C258" s="17" t="str">
        <f>IF(B258="","",IF(AND($B258&gt;=Settings!$C$10,$B258&lt;=Settings!$C$11),"OK","ERROR"))</f>
        <v/>
      </c>
      <c r="D258" s="18"/>
      <c r="E258" s="5"/>
      <c r="F258" s="19"/>
      <c r="G258" s="20" t="str">
        <f t="shared" si="6"/>
        <v/>
      </c>
      <c r="H258" s="18"/>
      <c r="I258" s="5"/>
      <c r="J258" s="21" t="str">
        <f t="shared" si="7"/>
        <v/>
      </c>
      <c r="K258" s="17" t="str">
        <f>IF(I258="","",MATCH($I258,Settings!$F$5:$F$46,0))</f>
        <v/>
      </c>
      <c r="L258" s="18"/>
    </row>
    <row r="259" spans="2:12" x14ac:dyDescent="0.25">
      <c r="B259" s="16"/>
      <c r="C259" s="17" t="str">
        <f>IF(B259="","",IF(AND($B259&gt;=Settings!$C$10,$B259&lt;=Settings!$C$11),"OK","ERROR"))</f>
        <v/>
      </c>
      <c r="D259" s="18"/>
      <c r="E259" s="5"/>
      <c r="F259" s="19"/>
      <c r="G259" s="20" t="str">
        <f t="shared" si="6"/>
        <v/>
      </c>
      <c r="H259" s="18"/>
      <c r="I259" s="5"/>
      <c r="J259" s="21" t="str">
        <f t="shared" si="7"/>
        <v/>
      </c>
      <c r="K259" s="17" t="str">
        <f>IF(I259="","",MATCH($I259,Settings!$F$5:$F$46,0))</f>
        <v/>
      </c>
      <c r="L259" s="18"/>
    </row>
    <row r="260" spans="2:12" x14ac:dyDescent="0.25">
      <c r="B260" s="16"/>
      <c r="C260" s="17" t="str">
        <f>IF(B260="","",IF(AND($B260&gt;=Settings!$C$10,$B260&lt;=Settings!$C$11),"OK","ERROR"))</f>
        <v/>
      </c>
      <c r="D260" s="18"/>
      <c r="E260" s="5"/>
      <c r="F260" s="19"/>
      <c r="G260" s="20" t="str">
        <f t="shared" si="6"/>
        <v/>
      </c>
      <c r="H260" s="18"/>
      <c r="I260" s="5"/>
      <c r="J260" s="21" t="str">
        <f t="shared" si="7"/>
        <v/>
      </c>
      <c r="K260" s="17" t="str">
        <f>IF(I260="","",MATCH($I260,Settings!$F$5:$F$46,0))</f>
        <v/>
      </c>
      <c r="L260" s="18"/>
    </row>
    <row r="261" spans="2:12" x14ac:dyDescent="0.25">
      <c r="B261" s="16"/>
      <c r="C261" s="17" t="str">
        <f>IF(B261="","",IF(AND($B261&gt;=Settings!$C$10,$B261&lt;=Settings!$C$11),"OK","ERROR"))</f>
        <v/>
      </c>
      <c r="D261" s="18"/>
      <c r="E261" s="5"/>
      <c r="F261" s="19"/>
      <c r="G261" s="20" t="str">
        <f t="shared" si="6"/>
        <v/>
      </c>
      <c r="H261" s="18"/>
      <c r="I261" s="5"/>
      <c r="J261" s="21" t="str">
        <f t="shared" si="7"/>
        <v/>
      </c>
      <c r="K261" s="17" t="str">
        <f>IF(I261="","",MATCH($I261,Settings!$F$5:$F$46,0))</f>
        <v/>
      </c>
      <c r="L261" s="18"/>
    </row>
    <row r="262" spans="2:12" x14ac:dyDescent="0.25">
      <c r="B262" s="16"/>
      <c r="C262" s="17" t="str">
        <f>IF(B262="","",IF(AND($B262&gt;=Settings!$C$10,$B262&lt;=Settings!$C$11),"OK","ERROR"))</f>
        <v/>
      </c>
      <c r="D262" s="18"/>
      <c r="E262" s="5"/>
      <c r="F262" s="19"/>
      <c r="G262" s="20" t="str">
        <f t="shared" ref="G262:G325" si="8">IF(F262="","",IF(I262&lt;&gt;"","OK","ERROR"))</f>
        <v/>
      </c>
      <c r="H262" s="18"/>
      <c r="I262" s="5"/>
      <c r="J262" s="21" t="str">
        <f t="shared" si="7"/>
        <v/>
      </c>
      <c r="K262" s="17" t="str">
        <f>IF(I262="","",MATCH($I262,Settings!$F$5:$F$46,0))</f>
        <v/>
      </c>
      <c r="L262" s="18"/>
    </row>
    <row r="263" spans="2:12" x14ac:dyDescent="0.25">
      <c r="B263" s="16"/>
      <c r="C263" s="17" t="str">
        <f>IF(B263="","",IF(AND($B263&gt;=Settings!$C$10,$B263&lt;=Settings!$C$11),"OK","ERROR"))</f>
        <v/>
      </c>
      <c r="D263" s="18"/>
      <c r="E263" s="5"/>
      <c r="F263" s="19"/>
      <c r="G263" s="20" t="str">
        <f t="shared" si="8"/>
        <v/>
      </c>
      <c r="H263" s="18"/>
      <c r="I263" s="5"/>
      <c r="J263" s="21" t="str">
        <f t="shared" ref="J263:J326" si="9">IF(I263="","",IF(ISERROR($K263)=TRUE,"ERROR","OK"))</f>
        <v/>
      </c>
      <c r="K263" s="17" t="str">
        <f>IF(I263="","",MATCH($I263,Settings!$F$5:$F$46,0))</f>
        <v/>
      </c>
      <c r="L263" s="18"/>
    </row>
    <row r="264" spans="2:12" x14ac:dyDescent="0.25">
      <c r="B264" s="16"/>
      <c r="C264" s="17" t="str">
        <f>IF(B264="","",IF(AND($B264&gt;=Settings!$C$10,$B264&lt;=Settings!$C$11),"OK","ERROR"))</f>
        <v/>
      </c>
      <c r="D264" s="18"/>
      <c r="E264" s="5"/>
      <c r="F264" s="19"/>
      <c r="G264" s="20" t="str">
        <f t="shared" si="8"/>
        <v/>
      </c>
      <c r="H264" s="18"/>
      <c r="I264" s="5"/>
      <c r="J264" s="21" t="str">
        <f t="shared" si="9"/>
        <v/>
      </c>
      <c r="K264" s="17" t="str">
        <f>IF(I264="","",MATCH($I264,Settings!$F$5:$F$46,0))</f>
        <v/>
      </c>
      <c r="L264" s="18"/>
    </row>
    <row r="265" spans="2:12" x14ac:dyDescent="0.25">
      <c r="B265" s="16"/>
      <c r="C265" s="17" t="str">
        <f>IF(B265="","",IF(AND($B265&gt;=Settings!$C$10,$B265&lt;=Settings!$C$11),"OK","ERROR"))</f>
        <v/>
      </c>
      <c r="D265" s="18"/>
      <c r="E265" s="5"/>
      <c r="F265" s="19"/>
      <c r="G265" s="20" t="str">
        <f t="shared" si="8"/>
        <v/>
      </c>
      <c r="H265" s="18"/>
      <c r="I265" s="5"/>
      <c r="J265" s="21" t="str">
        <f t="shared" si="9"/>
        <v/>
      </c>
      <c r="K265" s="17" t="str">
        <f>IF(I265="","",MATCH($I265,Settings!$F$5:$F$46,0))</f>
        <v/>
      </c>
      <c r="L265" s="18"/>
    </row>
    <row r="266" spans="2:12" x14ac:dyDescent="0.25">
      <c r="B266" s="16"/>
      <c r="C266" s="17" t="str">
        <f>IF(B266="","",IF(AND($B266&gt;=Settings!$C$10,$B266&lt;=Settings!$C$11),"OK","ERROR"))</f>
        <v/>
      </c>
      <c r="D266" s="18"/>
      <c r="E266" s="5"/>
      <c r="F266" s="19"/>
      <c r="G266" s="20" t="str">
        <f t="shared" si="8"/>
        <v/>
      </c>
      <c r="H266" s="18"/>
      <c r="I266" s="5"/>
      <c r="J266" s="21" t="str">
        <f t="shared" si="9"/>
        <v/>
      </c>
      <c r="K266" s="17" t="str">
        <f>IF(I266="","",MATCH($I266,Settings!$F$5:$F$46,0))</f>
        <v/>
      </c>
      <c r="L266" s="18"/>
    </row>
    <row r="267" spans="2:12" x14ac:dyDescent="0.25">
      <c r="B267" s="16"/>
      <c r="C267" s="17" t="str">
        <f>IF(B267="","",IF(AND($B267&gt;=Settings!$C$10,$B267&lt;=Settings!$C$11),"OK","ERROR"))</f>
        <v/>
      </c>
      <c r="D267" s="18"/>
      <c r="E267" s="5"/>
      <c r="F267" s="19"/>
      <c r="G267" s="20" t="str">
        <f t="shared" si="8"/>
        <v/>
      </c>
      <c r="H267" s="18"/>
      <c r="I267" s="5"/>
      <c r="J267" s="21" t="str">
        <f t="shared" si="9"/>
        <v/>
      </c>
      <c r="K267" s="17" t="str">
        <f>IF(I267="","",MATCH($I267,Settings!$F$5:$F$46,0))</f>
        <v/>
      </c>
      <c r="L267" s="18"/>
    </row>
    <row r="268" spans="2:12" x14ac:dyDescent="0.25">
      <c r="B268" s="16"/>
      <c r="C268" s="17" t="str">
        <f>IF(B268="","",IF(AND($B268&gt;=Settings!$C$10,$B268&lt;=Settings!$C$11),"OK","ERROR"))</f>
        <v/>
      </c>
      <c r="D268" s="18"/>
      <c r="E268" s="5"/>
      <c r="F268" s="19"/>
      <c r="G268" s="20" t="str">
        <f t="shared" si="8"/>
        <v/>
      </c>
      <c r="H268" s="18"/>
      <c r="I268" s="5"/>
      <c r="J268" s="21" t="str">
        <f t="shared" si="9"/>
        <v/>
      </c>
      <c r="K268" s="17" t="str">
        <f>IF(I268="","",MATCH($I268,Settings!$F$5:$F$46,0))</f>
        <v/>
      </c>
      <c r="L268" s="18"/>
    </row>
    <row r="269" spans="2:12" x14ac:dyDescent="0.25">
      <c r="B269" s="16"/>
      <c r="C269" s="17" t="str">
        <f>IF(B269="","",IF(AND($B269&gt;=Settings!$C$10,$B269&lt;=Settings!$C$11),"OK","ERROR"))</f>
        <v/>
      </c>
      <c r="D269" s="18"/>
      <c r="E269" s="5"/>
      <c r="F269" s="19"/>
      <c r="G269" s="20" t="str">
        <f t="shared" si="8"/>
        <v/>
      </c>
      <c r="H269" s="18"/>
      <c r="I269" s="5"/>
      <c r="J269" s="21" t="str">
        <f t="shared" si="9"/>
        <v/>
      </c>
      <c r="K269" s="17" t="str">
        <f>IF(I269="","",MATCH($I269,Settings!$F$5:$F$46,0))</f>
        <v/>
      </c>
      <c r="L269" s="18"/>
    </row>
    <row r="270" spans="2:12" x14ac:dyDescent="0.25">
      <c r="B270" s="16"/>
      <c r="C270" s="17" t="str">
        <f>IF(B270="","",IF(AND($B270&gt;=Settings!$C$10,$B270&lt;=Settings!$C$11),"OK","ERROR"))</f>
        <v/>
      </c>
      <c r="D270" s="18"/>
      <c r="E270" s="5"/>
      <c r="F270" s="19"/>
      <c r="G270" s="20" t="str">
        <f t="shared" si="8"/>
        <v/>
      </c>
      <c r="H270" s="18"/>
      <c r="I270" s="5"/>
      <c r="J270" s="21" t="str">
        <f t="shared" si="9"/>
        <v/>
      </c>
      <c r="K270" s="17" t="str">
        <f>IF(I270="","",MATCH($I270,Settings!$F$5:$F$46,0))</f>
        <v/>
      </c>
      <c r="L270" s="18"/>
    </row>
    <row r="271" spans="2:12" x14ac:dyDescent="0.25">
      <c r="B271" s="16"/>
      <c r="C271" s="17" t="str">
        <f>IF(B271="","",IF(AND($B271&gt;=Settings!$C$10,$B271&lt;=Settings!$C$11),"OK","ERROR"))</f>
        <v/>
      </c>
      <c r="D271" s="18"/>
      <c r="E271" s="5"/>
      <c r="F271" s="19"/>
      <c r="G271" s="20" t="str">
        <f t="shared" si="8"/>
        <v/>
      </c>
      <c r="H271" s="18"/>
      <c r="I271" s="5"/>
      <c r="J271" s="21" t="str">
        <f t="shared" si="9"/>
        <v/>
      </c>
      <c r="K271" s="17" t="str">
        <f>IF(I271="","",MATCH($I271,Settings!$F$5:$F$46,0))</f>
        <v/>
      </c>
      <c r="L271" s="18"/>
    </row>
    <row r="272" spans="2:12" x14ac:dyDescent="0.25">
      <c r="B272" s="16"/>
      <c r="C272" s="17" t="str">
        <f>IF(B272="","",IF(AND($B272&gt;=Settings!$C$10,$B272&lt;=Settings!$C$11),"OK","ERROR"))</f>
        <v/>
      </c>
      <c r="D272" s="18"/>
      <c r="E272" s="5"/>
      <c r="F272" s="19"/>
      <c r="G272" s="20" t="str">
        <f t="shared" si="8"/>
        <v/>
      </c>
      <c r="H272" s="18"/>
      <c r="I272" s="5"/>
      <c r="J272" s="21" t="str">
        <f t="shared" si="9"/>
        <v/>
      </c>
      <c r="K272" s="17" t="str">
        <f>IF(I272="","",MATCH($I272,Settings!$F$5:$F$46,0))</f>
        <v/>
      </c>
      <c r="L272" s="18"/>
    </row>
    <row r="273" spans="2:12" x14ac:dyDescent="0.25">
      <c r="B273" s="16"/>
      <c r="C273" s="17" t="str">
        <f>IF(B273="","",IF(AND($B273&gt;=Settings!$C$10,$B273&lt;=Settings!$C$11),"OK","ERROR"))</f>
        <v/>
      </c>
      <c r="D273" s="18"/>
      <c r="E273" s="5"/>
      <c r="F273" s="19"/>
      <c r="G273" s="20" t="str">
        <f t="shared" si="8"/>
        <v/>
      </c>
      <c r="H273" s="18"/>
      <c r="I273" s="5"/>
      <c r="J273" s="21" t="str">
        <f t="shared" si="9"/>
        <v/>
      </c>
      <c r="K273" s="17" t="str">
        <f>IF(I273="","",MATCH($I273,Settings!$F$5:$F$46,0))</f>
        <v/>
      </c>
      <c r="L273" s="18"/>
    </row>
    <row r="274" spans="2:12" x14ac:dyDescent="0.25">
      <c r="B274" s="16"/>
      <c r="C274" s="17" t="str">
        <f>IF(B274="","",IF(AND($B274&gt;=Settings!$C$10,$B274&lt;=Settings!$C$11),"OK","ERROR"))</f>
        <v/>
      </c>
      <c r="D274" s="18"/>
      <c r="E274" s="5"/>
      <c r="F274" s="19"/>
      <c r="G274" s="20" t="str">
        <f t="shared" si="8"/>
        <v/>
      </c>
      <c r="H274" s="18"/>
      <c r="I274" s="5"/>
      <c r="J274" s="21" t="str">
        <f t="shared" si="9"/>
        <v/>
      </c>
      <c r="K274" s="17" t="str">
        <f>IF(I274="","",MATCH($I274,Settings!$F$5:$F$46,0))</f>
        <v/>
      </c>
      <c r="L274" s="18"/>
    </row>
    <row r="275" spans="2:12" x14ac:dyDescent="0.25">
      <c r="B275" s="16"/>
      <c r="C275" s="17" t="str">
        <f>IF(B275="","",IF(AND($B275&gt;=Settings!$C$10,$B275&lt;=Settings!$C$11),"OK","ERROR"))</f>
        <v/>
      </c>
      <c r="D275" s="18"/>
      <c r="E275" s="5"/>
      <c r="F275" s="19"/>
      <c r="G275" s="20" t="str">
        <f t="shared" si="8"/>
        <v/>
      </c>
      <c r="H275" s="18"/>
      <c r="I275" s="5"/>
      <c r="J275" s="21" t="str">
        <f t="shared" si="9"/>
        <v/>
      </c>
      <c r="K275" s="17" t="str">
        <f>IF(I275="","",MATCH($I275,Settings!$F$5:$F$46,0))</f>
        <v/>
      </c>
      <c r="L275" s="18"/>
    </row>
    <row r="276" spans="2:12" x14ac:dyDescent="0.25">
      <c r="B276" s="16"/>
      <c r="C276" s="17" t="str">
        <f>IF(B276="","",IF(AND($B276&gt;=Settings!$C$10,$B276&lt;=Settings!$C$11),"OK","ERROR"))</f>
        <v/>
      </c>
      <c r="D276" s="18"/>
      <c r="E276" s="5"/>
      <c r="F276" s="19"/>
      <c r="G276" s="20" t="str">
        <f t="shared" si="8"/>
        <v/>
      </c>
      <c r="H276" s="18"/>
      <c r="I276" s="5"/>
      <c r="J276" s="21" t="str">
        <f t="shared" si="9"/>
        <v/>
      </c>
      <c r="K276" s="17" t="str">
        <f>IF(I276="","",MATCH($I276,Settings!$F$5:$F$46,0))</f>
        <v/>
      </c>
      <c r="L276" s="18"/>
    </row>
    <row r="277" spans="2:12" x14ac:dyDescent="0.25">
      <c r="B277" s="16"/>
      <c r="C277" s="17" t="str">
        <f>IF(B277="","",IF(AND($B277&gt;=Settings!$C$10,$B277&lt;=Settings!$C$11),"OK","ERROR"))</f>
        <v/>
      </c>
      <c r="D277" s="18"/>
      <c r="E277" s="5"/>
      <c r="F277" s="19"/>
      <c r="G277" s="20" t="str">
        <f t="shared" si="8"/>
        <v/>
      </c>
      <c r="H277" s="18"/>
      <c r="I277" s="5"/>
      <c r="J277" s="21" t="str">
        <f t="shared" si="9"/>
        <v/>
      </c>
      <c r="K277" s="17" t="str">
        <f>IF(I277="","",MATCH($I277,Settings!$F$5:$F$46,0))</f>
        <v/>
      </c>
      <c r="L277" s="18"/>
    </row>
    <row r="278" spans="2:12" x14ac:dyDescent="0.25">
      <c r="B278" s="16"/>
      <c r="C278" s="17" t="str">
        <f>IF(B278="","",IF(AND($B278&gt;=Settings!$C$10,$B278&lt;=Settings!$C$11),"OK","ERROR"))</f>
        <v/>
      </c>
      <c r="D278" s="18"/>
      <c r="E278" s="5"/>
      <c r="F278" s="19"/>
      <c r="G278" s="20" t="str">
        <f t="shared" si="8"/>
        <v/>
      </c>
      <c r="H278" s="18"/>
      <c r="I278" s="5"/>
      <c r="J278" s="21" t="str">
        <f t="shared" si="9"/>
        <v/>
      </c>
      <c r="K278" s="17" t="str">
        <f>IF(I278="","",MATCH($I278,Settings!$F$5:$F$46,0))</f>
        <v/>
      </c>
      <c r="L278" s="18"/>
    </row>
    <row r="279" spans="2:12" x14ac:dyDescent="0.25">
      <c r="B279" s="16"/>
      <c r="C279" s="17" t="str">
        <f>IF(B279="","",IF(AND($B279&gt;=Settings!$C$10,$B279&lt;=Settings!$C$11),"OK","ERROR"))</f>
        <v/>
      </c>
      <c r="D279" s="18"/>
      <c r="E279" s="5"/>
      <c r="F279" s="19"/>
      <c r="G279" s="20" t="str">
        <f t="shared" si="8"/>
        <v/>
      </c>
      <c r="H279" s="18"/>
      <c r="I279" s="5"/>
      <c r="J279" s="21" t="str">
        <f t="shared" si="9"/>
        <v/>
      </c>
      <c r="K279" s="17" t="str">
        <f>IF(I279="","",MATCH($I279,Settings!$F$5:$F$46,0))</f>
        <v/>
      </c>
      <c r="L279" s="18"/>
    </row>
    <row r="280" spans="2:12" x14ac:dyDescent="0.25">
      <c r="B280" s="16"/>
      <c r="C280" s="17" t="str">
        <f>IF(B280="","",IF(AND($B280&gt;=Settings!$C$10,$B280&lt;=Settings!$C$11),"OK","ERROR"))</f>
        <v/>
      </c>
      <c r="D280" s="18"/>
      <c r="E280" s="5"/>
      <c r="F280" s="19"/>
      <c r="G280" s="20" t="str">
        <f t="shared" si="8"/>
        <v/>
      </c>
      <c r="H280" s="18"/>
      <c r="I280" s="5"/>
      <c r="J280" s="21" t="str">
        <f t="shared" si="9"/>
        <v/>
      </c>
      <c r="K280" s="17" t="str">
        <f>IF(I280="","",MATCH($I280,Settings!$F$5:$F$46,0))</f>
        <v/>
      </c>
      <c r="L280" s="18"/>
    </row>
    <row r="281" spans="2:12" x14ac:dyDescent="0.25">
      <c r="B281" s="16"/>
      <c r="C281" s="17" t="str">
        <f>IF(B281="","",IF(AND($B281&gt;=Settings!$C$10,$B281&lt;=Settings!$C$11),"OK","ERROR"))</f>
        <v/>
      </c>
      <c r="D281" s="18"/>
      <c r="E281" s="5"/>
      <c r="F281" s="19"/>
      <c r="G281" s="20" t="str">
        <f t="shared" si="8"/>
        <v/>
      </c>
      <c r="H281" s="18"/>
      <c r="I281" s="5"/>
      <c r="J281" s="21" t="str">
        <f t="shared" si="9"/>
        <v/>
      </c>
      <c r="K281" s="17" t="str">
        <f>IF(I281="","",MATCH($I281,Settings!$F$5:$F$46,0))</f>
        <v/>
      </c>
      <c r="L281" s="18"/>
    </row>
    <row r="282" spans="2:12" x14ac:dyDescent="0.25">
      <c r="B282" s="16"/>
      <c r="C282" s="17" t="str">
        <f>IF(B282="","",IF(AND($B282&gt;=Settings!$C$10,$B282&lt;=Settings!$C$11),"OK","ERROR"))</f>
        <v/>
      </c>
      <c r="D282" s="18"/>
      <c r="E282" s="5"/>
      <c r="F282" s="19"/>
      <c r="G282" s="20" t="str">
        <f t="shared" si="8"/>
        <v/>
      </c>
      <c r="H282" s="18"/>
      <c r="I282" s="5"/>
      <c r="J282" s="21" t="str">
        <f t="shared" si="9"/>
        <v/>
      </c>
      <c r="K282" s="17" t="str">
        <f>IF(I282="","",MATCH($I282,Settings!$F$5:$F$46,0))</f>
        <v/>
      </c>
      <c r="L282" s="18"/>
    </row>
    <row r="283" spans="2:12" x14ac:dyDescent="0.25">
      <c r="B283" s="16"/>
      <c r="C283" s="17" t="str">
        <f>IF(B283="","",IF(AND($B283&gt;=Settings!$C$10,$B283&lt;=Settings!$C$11),"OK","ERROR"))</f>
        <v/>
      </c>
      <c r="D283" s="18"/>
      <c r="E283" s="5"/>
      <c r="F283" s="19"/>
      <c r="G283" s="20" t="str">
        <f t="shared" si="8"/>
        <v/>
      </c>
      <c r="H283" s="18"/>
      <c r="I283" s="5"/>
      <c r="J283" s="21" t="str">
        <f t="shared" si="9"/>
        <v/>
      </c>
      <c r="K283" s="17" t="str">
        <f>IF(I283="","",MATCH($I283,Settings!$F$5:$F$46,0))</f>
        <v/>
      </c>
      <c r="L283" s="18"/>
    </row>
    <row r="284" spans="2:12" x14ac:dyDescent="0.25">
      <c r="B284" s="16"/>
      <c r="C284" s="17" t="str">
        <f>IF(B284="","",IF(AND($B284&gt;=Settings!$C$10,$B284&lt;=Settings!$C$11),"OK","ERROR"))</f>
        <v/>
      </c>
      <c r="D284" s="18"/>
      <c r="E284" s="5"/>
      <c r="F284" s="19"/>
      <c r="G284" s="20" t="str">
        <f t="shared" si="8"/>
        <v/>
      </c>
      <c r="H284" s="18"/>
      <c r="I284" s="5"/>
      <c r="J284" s="21" t="str">
        <f t="shared" si="9"/>
        <v/>
      </c>
      <c r="K284" s="17" t="str">
        <f>IF(I284="","",MATCH($I284,Settings!$F$5:$F$46,0))</f>
        <v/>
      </c>
      <c r="L284" s="18"/>
    </row>
    <row r="285" spans="2:12" x14ac:dyDescent="0.25">
      <c r="B285" s="16"/>
      <c r="C285" s="17" t="str">
        <f>IF(B285="","",IF(AND($B285&gt;=Settings!$C$10,$B285&lt;=Settings!$C$11),"OK","ERROR"))</f>
        <v/>
      </c>
      <c r="D285" s="18"/>
      <c r="E285" s="5"/>
      <c r="F285" s="19"/>
      <c r="G285" s="20" t="str">
        <f t="shared" si="8"/>
        <v/>
      </c>
      <c r="H285" s="18"/>
      <c r="I285" s="5"/>
      <c r="J285" s="21" t="str">
        <f t="shared" si="9"/>
        <v/>
      </c>
      <c r="K285" s="17" t="str">
        <f>IF(I285="","",MATCH($I285,Settings!$F$5:$F$46,0))</f>
        <v/>
      </c>
      <c r="L285" s="18"/>
    </row>
    <row r="286" spans="2:12" x14ac:dyDescent="0.25">
      <c r="B286" s="16"/>
      <c r="C286" s="17" t="str">
        <f>IF(B286="","",IF(AND($B286&gt;=Settings!$C$10,$B286&lt;=Settings!$C$11),"OK","ERROR"))</f>
        <v/>
      </c>
      <c r="D286" s="18"/>
      <c r="E286" s="5"/>
      <c r="F286" s="19"/>
      <c r="G286" s="20" t="str">
        <f t="shared" si="8"/>
        <v/>
      </c>
      <c r="H286" s="18"/>
      <c r="I286" s="5"/>
      <c r="J286" s="21" t="str">
        <f t="shared" si="9"/>
        <v/>
      </c>
      <c r="K286" s="17" t="str">
        <f>IF(I286="","",MATCH($I286,Settings!$F$5:$F$46,0))</f>
        <v/>
      </c>
      <c r="L286" s="18"/>
    </row>
    <row r="287" spans="2:12" x14ac:dyDescent="0.25">
      <c r="B287" s="16"/>
      <c r="C287" s="17" t="str">
        <f>IF(B287="","",IF(AND($B287&gt;=Settings!$C$10,$B287&lt;=Settings!$C$11),"OK","ERROR"))</f>
        <v/>
      </c>
      <c r="D287" s="18"/>
      <c r="E287" s="5"/>
      <c r="F287" s="19"/>
      <c r="G287" s="20" t="str">
        <f t="shared" si="8"/>
        <v/>
      </c>
      <c r="H287" s="18"/>
      <c r="I287" s="5"/>
      <c r="J287" s="21" t="str">
        <f t="shared" si="9"/>
        <v/>
      </c>
      <c r="K287" s="17" t="str">
        <f>IF(I287="","",MATCH($I287,Settings!$F$5:$F$46,0))</f>
        <v/>
      </c>
      <c r="L287" s="18"/>
    </row>
    <row r="288" spans="2:12" x14ac:dyDescent="0.25">
      <c r="B288" s="16"/>
      <c r="C288" s="17" t="str">
        <f>IF(B288="","",IF(AND($B288&gt;=Settings!$C$10,$B288&lt;=Settings!$C$11),"OK","ERROR"))</f>
        <v/>
      </c>
      <c r="D288" s="18"/>
      <c r="E288" s="5"/>
      <c r="F288" s="19"/>
      <c r="G288" s="20" t="str">
        <f t="shared" si="8"/>
        <v/>
      </c>
      <c r="H288" s="18"/>
      <c r="I288" s="5"/>
      <c r="J288" s="21" t="str">
        <f t="shared" si="9"/>
        <v/>
      </c>
      <c r="K288" s="17" t="str">
        <f>IF(I288="","",MATCH($I288,Settings!$F$5:$F$46,0))</f>
        <v/>
      </c>
      <c r="L288" s="18"/>
    </row>
    <row r="289" spans="2:12" x14ac:dyDescent="0.25">
      <c r="B289" s="16"/>
      <c r="C289" s="17" t="str">
        <f>IF(B289="","",IF(AND($B289&gt;=Settings!$C$10,$B289&lt;=Settings!$C$11),"OK","ERROR"))</f>
        <v/>
      </c>
      <c r="D289" s="18"/>
      <c r="E289" s="5"/>
      <c r="F289" s="19"/>
      <c r="G289" s="20" t="str">
        <f t="shared" si="8"/>
        <v/>
      </c>
      <c r="H289" s="18"/>
      <c r="I289" s="5"/>
      <c r="J289" s="21" t="str">
        <f t="shared" si="9"/>
        <v/>
      </c>
      <c r="K289" s="17" t="str">
        <f>IF(I289="","",MATCH($I289,Settings!$F$5:$F$46,0))</f>
        <v/>
      </c>
      <c r="L289" s="18"/>
    </row>
    <row r="290" spans="2:12" x14ac:dyDescent="0.25">
      <c r="B290" s="16"/>
      <c r="C290" s="17" t="str">
        <f>IF(B290="","",IF(AND($B290&gt;=Settings!$C$10,$B290&lt;=Settings!$C$11),"OK","ERROR"))</f>
        <v/>
      </c>
      <c r="D290" s="18"/>
      <c r="E290" s="5"/>
      <c r="F290" s="19"/>
      <c r="G290" s="20" t="str">
        <f t="shared" si="8"/>
        <v/>
      </c>
      <c r="H290" s="18"/>
      <c r="I290" s="5"/>
      <c r="J290" s="21" t="str">
        <f t="shared" si="9"/>
        <v/>
      </c>
      <c r="K290" s="17" t="str">
        <f>IF(I290="","",MATCH($I290,Settings!$F$5:$F$46,0))</f>
        <v/>
      </c>
      <c r="L290" s="18"/>
    </row>
    <row r="291" spans="2:12" x14ac:dyDescent="0.25">
      <c r="B291" s="16"/>
      <c r="C291" s="17" t="str">
        <f>IF(B291="","",IF(AND($B291&gt;=Settings!$C$10,$B291&lt;=Settings!$C$11),"OK","ERROR"))</f>
        <v/>
      </c>
      <c r="D291" s="18"/>
      <c r="E291" s="5"/>
      <c r="F291" s="19"/>
      <c r="G291" s="20" t="str">
        <f t="shared" si="8"/>
        <v/>
      </c>
      <c r="H291" s="18"/>
      <c r="I291" s="5"/>
      <c r="J291" s="21" t="str">
        <f t="shared" si="9"/>
        <v/>
      </c>
      <c r="K291" s="17" t="str">
        <f>IF(I291="","",MATCH($I291,Settings!$F$5:$F$46,0))</f>
        <v/>
      </c>
      <c r="L291" s="18"/>
    </row>
    <row r="292" spans="2:12" x14ac:dyDescent="0.25">
      <c r="B292" s="16"/>
      <c r="C292" s="17" t="str">
        <f>IF(B292="","",IF(AND($B292&gt;=Settings!$C$10,$B292&lt;=Settings!$C$11),"OK","ERROR"))</f>
        <v/>
      </c>
      <c r="D292" s="18"/>
      <c r="E292" s="5"/>
      <c r="F292" s="19"/>
      <c r="G292" s="20" t="str">
        <f t="shared" si="8"/>
        <v/>
      </c>
      <c r="H292" s="18"/>
      <c r="I292" s="5"/>
      <c r="J292" s="21" t="str">
        <f t="shared" si="9"/>
        <v/>
      </c>
      <c r="K292" s="17" t="str">
        <f>IF(I292="","",MATCH($I292,Settings!$F$5:$F$46,0))</f>
        <v/>
      </c>
      <c r="L292" s="18"/>
    </row>
    <row r="293" spans="2:12" x14ac:dyDescent="0.25">
      <c r="B293" s="16"/>
      <c r="C293" s="17" t="str">
        <f>IF(B293="","",IF(AND($B293&gt;=Settings!$C$10,$B293&lt;=Settings!$C$11),"OK","ERROR"))</f>
        <v/>
      </c>
      <c r="D293" s="18"/>
      <c r="E293" s="5"/>
      <c r="F293" s="19"/>
      <c r="G293" s="20" t="str">
        <f t="shared" si="8"/>
        <v/>
      </c>
      <c r="H293" s="18"/>
      <c r="I293" s="5"/>
      <c r="J293" s="21" t="str">
        <f t="shared" si="9"/>
        <v/>
      </c>
      <c r="K293" s="17" t="str">
        <f>IF(I293="","",MATCH($I293,Settings!$F$5:$F$46,0))</f>
        <v/>
      </c>
      <c r="L293" s="18"/>
    </row>
    <row r="294" spans="2:12" x14ac:dyDescent="0.25">
      <c r="B294" s="16"/>
      <c r="C294" s="17" t="str">
        <f>IF(B294="","",IF(AND($B294&gt;=Settings!$C$10,$B294&lt;=Settings!$C$11),"OK","ERROR"))</f>
        <v/>
      </c>
      <c r="D294" s="18"/>
      <c r="E294" s="5"/>
      <c r="F294" s="19"/>
      <c r="G294" s="20" t="str">
        <f t="shared" si="8"/>
        <v/>
      </c>
      <c r="H294" s="18"/>
      <c r="I294" s="5"/>
      <c r="J294" s="21" t="str">
        <f t="shared" si="9"/>
        <v/>
      </c>
      <c r="K294" s="17" t="str">
        <f>IF(I294="","",MATCH($I294,Settings!$F$5:$F$46,0))</f>
        <v/>
      </c>
      <c r="L294" s="18"/>
    </row>
    <row r="295" spans="2:12" x14ac:dyDescent="0.25">
      <c r="B295" s="16"/>
      <c r="C295" s="17" t="str">
        <f>IF(B295="","",IF(AND($B295&gt;=Settings!$C$10,$B295&lt;=Settings!$C$11),"OK","ERROR"))</f>
        <v/>
      </c>
      <c r="D295" s="18"/>
      <c r="E295" s="5"/>
      <c r="F295" s="19"/>
      <c r="G295" s="20" t="str">
        <f t="shared" si="8"/>
        <v/>
      </c>
      <c r="H295" s="18"/>
      <c r="I295" s="5"/>
      <c r="J295" s="21" t="str">
        <f t="shared" si="9"/>
        <v/>
      </c>
      <c r="K295" s="17" t="str">
        <f>IF(I295="","",MATCH($I295,Settings!$F$5:$F$46,0))</f>
        <v/>
      </c>
      <c r="L295" s="18"/>
    </row>
    <row r="296" spans="2:12" x14ac:dyDescent="0.25">
      <c r="B296" s="16"/>
      <c r="C296" s="17" t="str">
        <f>IF(B296="","",IF(AND($B296&gt;=Settings!$C$10,$B296&lt;=Settings!$C$11),"OK","ERROR"))</f>
        <v/>
      </c>
      <c r="D296" s="18"/>
      <c r="E296" s="5"/>
      <c r="F296" s="19"/>
      <c r="G296" s="20" t="str">
        <f t="shared" si="8"/>
        <v/>
      </c>
      <c r="H296" s="18"/>
      <c r="I296" s="5"/>
      <c r="J296" s="21" t="str">
        <f t="shared" si="9"/>
        <v/>
      </c>
      <c r="K296" s="17" t="str">
        <f>IF(I296="","",MATCH($I296,Settings!$F$5:$F$46,0))</f>
        <v/>
      </c>
      <c r="L296" s="18"/>
    </row>
    <row r="297" spans="2:12" x14ac:dyDescent="0.25">
      <c r="B297" s="16"/>
      <c r="C297" s="17" t="str">
        <f>IF(B297="","",IF(AND($B297&gt;=Settings!$C$10,$B297&lt;=Settings!$C$11),"OK","ERROR"))</f>
        <v/>
      </c>
      <c r="D297" s="18"/>
      <c r="E297" s="5"/>
      <c r="F297" s="19"/>
      <c r="G297" s="20" t="str">
        <f t="shared" si="8"/>
        <v/>
      </c>
      <c r="H297" s="18"/>
      <c r="I297" s="5"/>
      <c r="J297" s="21" t="str">
        <f t="shared" si="9"/>
        <v/>
      </c>
      <c r="K297" s="17" t="str">
        <f>IF(I297="","",MATCH($I297,Settings!$F$5:$F$46,0))</f>
        <v/>
      </c>
      <c r="L297" s="18"/>
    </row>
    <row r="298" spans="2:12" x14ac:dyDescent="0.25">
      <c r="B298" s="16"/>
      <c r="C298" s="17" t="str">
        <f>IF(B298="","",IF(AND($B298&gt;=Settings!$C$10,$B298&lt;=Settings!$C$11),"OK","ERROR"))</f>
        <v/>
      </c>
      <c r="D298" s="18"/>
      <c r="E298" s="5"/>
      <c r="F298" s="19"/>
      <c r="G298" s="20" t="str">
        <f t="shared" si="8"/>
        <v/>
      </c>
      <c r="H298" s="18"/>
      <c r="I298" s="5"/>
      <c r="J298" s="21" t="str">
        <f t="shared" si="9"/>
        <v/>
      </c>
      <c r="K298" s="17" t="str">
        <f>IF(I298="","",MATCH($I298,Settings!$F$5:$F$46,0))</f>
        <v/>
      </c>
      <c r="L298" s="18"/>
    </row>
    <row r="299" spans="2:12" x14ac:dyDescent="0.25">
      <c r="B299" s="16"/>
      <c r="C299" s="17" t="str">
        <f>IF(B299="","",IF(AND($B299&gt;=Settings!$C$10,$B299&lt;=Settings!$C$11),"OK","ERROR"))</f>
        <v/>
      </c>
      <c r="D299" s="18"/>
      <c r="E299" s="5"/>
      <c r="F299" s="19"/>
      <c r="G299" s="20" t="str">
        <f t="shared" si="8"/>
        <v/>
      </c>
      <c r="H299" s="18"/>
      <c r="I299" s="5"/>
      <c r="J299" s="21" t="str">
        <f t="shared" si="9"/>
        <v/>
      </c>
      <c r="K299" s="17" t="str">
        <f>IF(I299="","",MATCH($I299,Settings!$F$5:$F$46,0))</f>
        <v/>
      </c>
      <c r="L299" s="18"/>
    </row>
    <row r="300" spans="2:12" x14ac:dyDescent="0.25">
      <c r="B300" s="16"/>
      <c r="C300" s="17" t="str">
        <f>IF(B300="","",IF(AND($B300&gt;=Settings!$C$10,$B300&lt;=Settings!$C$11),"OK","ERROR"))</f>
        <v/>
      </c>
      <c r="D300" s="18"/>
      <c r="E300" s="5"/>
      <c r="F300" s="19"/>
      <c r="G300" s="20" t="str">
        <f t="shared" si="8"/>
        <v/>
      </c>
      <c r="H300" s="18"/>
      <c r="I300" s="5"/>
      <c r="J300" s="21" t="str">
        <f t="shared" si="9"/>
        <v/>
      </c>
      <c r="K300" s="17" t="str">
        <f>IF(I300="","",MATCH($I300,Settings!$F$5:$F$46,0))</f>
        <v/>
      </c>
      <c r="L300" s="18"/>
    </row>
    <row r="301" spans="2:12" x14ac:dyDescent="0.25">
      <c r="B301" s="16"/>
      <c r="C301" s="17" t="str">
        <f>IF(B301="","",IF(AND($B301&gt;=Settings!$C$10,$B301&lt;=Settings!$C$11),"OK","ERROR"))</f>
        <v/>
      </c>
      <c r="D301" s="18"/>
      <c r="E301" s="5"/>
      <c r="F301" s="19"/>
      <c r="G301" s="20" t="str">
        <f t="shared" si="8"/>
        <v/>
      </c>
      <c r="H301" s="18"/>
      <c r="I301" s="5"/>
      <c r="J301" s="21" t="str">
        <f t="shared" si="9"/>
        <v/>
      </c>
      <c r="K301" s="17" t="str">
        <f>IF(I301="","",MATCH($I301,Settings!$F$5:$F$46,0))</f>
        <v/>
      </c>
      <c r="L301" s="18"/>
    </row>
    <row r="302" spans="2:12" x14ac:dyDescent="0.25">
      <c r="B302" s="16"/>
      <c r="C302" s="17" t="str">
        <f>IF(B302="","",IF(AND($B302&gt;=Settings!$C$10,$B302&lt;=Settings!$C$11),"OK","ERROR"))</f>
        <v/>
      </c>
      <c r="D302" s="18"/>
      <c r="E302" s="5"/>
      <c r="F302" s="19"/>
      <c r="G302" s="20" t="str">
        <f t="shared" si="8"/>
        <v/>
      </c>
      <c r="H302" s="18"/>
      <c r="I302" s="5"/>
      <c r="J302" s="21" t="str">
        <f t="shared" si="9"/>
        <v/>
      </c>
      <c r="K302" s="17" t="str">
        <f>IF(I302="","",MATCH($I302,Settings!$F$5:$F$46,0))</f>
        <v/>
      </c>
      <c r="L302" s="18"/>
    </row>
    <row r="303" spans="2:12" x14ac:dyDescent="0.25">
      <c r="B303" s="16"/>
      <c r="C303" s="17" t="str">
        <f>IF(B303="","",IF(AND($B303&gt;=Settings!$C$10,$B303&lt;=Settings!$C$11),"OK","ERROR"))</f>
        <v/>
      </c>
      <c r="D303" s="18"/>
      <c r="E303" s="5"/>
      <c r="F303" s="19"/>
      <c r="G303" s="20" t="str">
        <f t="shared" si="8"/>
        <v/>
      </c>
      <c r="H303" s="18"/>
      <c r="I303" s="5"/>
      <c r="J303" s="21" t="str">
        <f t="shared" si="9"/>
        <v/>
      </c>
      <c r="K303" s="17" t="str">
        <f>IF(I303="","",MATCH($I303,Settings!$F$5:$F$46,0))</f>
        <v/>
      </c>
      <c r="L303" s="18"/>
    </row>
    <row r="304" spans="2:12" x14ac:dyDescent="0.25">
      <c r="B304" s="16"/>
      <c r="C304" s="17" t="str">
        <f>IF(B304="","",IF(AND($B304&gt;=Settings!$C$10,$B304&lt;=Settings!$C$11),"OK","ERROR"))</f>
        <v/>
      </c>
      <c r="D304" s="18"/>
      <c r="E304" s="5"/>
      <c r="F304" s="19"/>
      <c r="G304" s="20" t="str">
        <f t="shared" si="8"/>
        <v/>
      </c>
      <c r="H304" s="18"/>
      <c r="I304" s="5"/>
      <c r="J304" s="21" t="str">
        <f t="shared" si="9"/>
        <v/>
      </c>
      <c r="K304" s="17" t="str">
        <f>IF(I304="","",MATCH($I304,Settings!$F$5:$F$46,0))</f>
        <v/>
      </c>
      <c r="L304" s="18"/>
    </row>
    <row r="305" spans="2:12" x14ac:dyDescent="0.25">
      <c r="B305" s="16"/>
      <c r="C305" s="17" t="str">
        <f>IF(B305="","",IF(AND($B305&gt;=Settings!$C$10,$B305&lt;=Settings!$C$11),"OK","ERROR"))</f>
        <v/>
      </c>
      <c r="D305" s="18"/>
      <c r="E305" s="5"/>
      <c r="F305" s="19"/>
      <c r="G305" s="20" t="str">
        <f t="shared" si="8"/>
        <v/>
      </c>
      <c r="H305" s="18"/>
      <c r="I305" s="5"/>
      <c r="J305" s="21" t="str">
        <f t="shared" si="9"/>
        <v/>
      </c>
      <c r="K305" s="17" t="str">
        <f>IF(I305="","",MATCH($I305,Settings!$F$5:$F$46,0))</f>
        <v/>
      </c>
      <c r="L305" s="18"/>
    </row>
    <row r="306" spans="2:12" x14ac:dyDescent="0.25">
      <c r="B306" s="16"/>
      <c r="C306" s="17" t="str">
        <f>IF(B306="","",IF(AND($B306&gt;=Settings!$C$10,$B306&lt;=Settings!$C$11),"OK","ERROR"))</f>
        <v/>
      </c>
      <c r="D306" s="18"/>
      <c r="E306" s="5"/>
      <c r="F306" s="19"/>
      <c r="G306" s="20" t="str">
        <f t="shared" si="8"/>
        <v/>
      </c>
      <c r="H306" s="18"/>
      <c r="I306" s="5"/>
      <c r="J306" s="21" t="str">
        <f t="shared" si="9"/>
        <v/>
      </c>
      <c r="K306" s="17" t="str">
        <f>IF(I306="","",MATCH($I306,Settings!$F$5:$F$46,0))</f>
        <v/>
      </c>
      <c r="L306" s="18"/>
    </row>
    <row r="307" spans="2:12" x14ac:dyDescent="0.25">
      <c r="B307" s="16"/>
      <c r="C307" s="17" t="str">
        <f>IF(B307="","",IF(AND($B307&gt;=Settings!$C$10,$B307&lt;=Settings!$C$11),"OK","ERROR"))</f>
        <v/>
      </c>
      <c r="D307" s="18"/>
      <c r="E307" s="5"/>
      <c r="F307" s="19"/>
      <c r="G307" s="20" t="str">
        <f t="shared" si="8"/>
        <v/>
      </c>
      <c r="H307" s="18"/>
      <c r="I307" s="5"/>
      <c r="J307" s="21" t="str">
        <f t="shared" si="9"/>
        <v/>
      </c>
      <c r="K307" s="17" t="str">
        <f>IF(I307="","",MATCH($I307,Settings!$F$5:$F$46,0))</f>
        <v/>
      </c>
      <c r="L307" s="18"/>
    </row>
    <row r="308" spans="2:12" x14ac:dyDescent="0.25">
      <c r="B308" s="16"/>
      <c r="C308" s="17" t="str">
        <f>IF(B308="","",IF(AND($B308&gt;=Settings!$C$10,$B308&lt;=Settings!$C$11),"OK","ERROR"))</f>
        <v/>
      </c>
      <c r="D308" s="18"/>
      <c r="E308" s="5"/>
      <c r="F308" s="19"/>
      <c r="G308" s="20" t="str">
        <f t="shared" si="8"/>
        <v/>
      </c>
      <c r="H308" s="18"/>
      <c r="I308" s="5"/>
      <c r="J308" s="21" t="str">
        <f t="shared" si="9"/>
        <v/>
      </c>
      <c r="K308" s="17" t="str">
        <f>IF(I308="","",MATCH($I308,Settings!$F$5:$F$46,0))</f>
        <v/>
      </c>
      <c r="L308" s="18"/>
    </row>
    <row r="309" spans="2:12" x14ac:dyDescent="0.25">
      <c r="B309" s="16"/>
      <c r="C309" s="17" t="str">
        <f>IF(B309="","",IF(AND($B309&gt;=Settings!$C$10,$B309&lt;=Settings!$C$11),"OK","ERROR"))</f>
        <v/>
      </c>
      <c r="D309" s="18"/>
      <c r="E309" s="5"/>
      <c r="F309" s="19"/>
      <c r="G309" s="20" t="str">
        <f t="shared" si="8"/>
        <v/>
      </c>
      <c r="H309" s="18"/>
      <c r="I309" s="5"/>
      <c r="J309" s="21" t="str">
        <f t="shared" si="9"/>
        <v/>
      </c>
      <c r="K309" s="17" t="str">
        <f>IF(I309="","",MATCH($I309,Settings!$F$5:$F$46,0))</f>
        <v/>
      </c>
      <c r="L309" s="18"/>
    </row>
    <row r="310" spans="2:12" x14ac:dyDescent="0.25">
      <c r="B310" s="16"/>
      <c r="C310" s="17" t="str">
        <f>IF(B310="","",IF(AND($B310&gt;=Settings!$C$10,$B310&lt;=Settings!$C$11),"OK","ERROR"))</f>
        <v/>
      </c>
      <c r="D310" s="18"/>
      <c r="E310" s="5"/>
      <c r="F310" s="19"/>
      <c r="G310" s="20" t="str">
        <f t="shared" si="8"/>
        <v/>
      </c>
      <c r="H310" s="18"/>
      <c r="I310" s="5"/>
      <c r="J310" s="21" t="str">
        <f t="shared" si="9"/>
        <v/>
      </c>
      <c r="K310" s="17" t="str">
        <f>IF(I310="","",MATCH($I310,Settings!$F$5:$F$46,0))</f>
        <v/>
      </c>
      <c r="L310" s="18"/>
    </row>
    <row r="311" spans="2:12" x14ac:dyDescent="0.25">
      <c r="B311" s="16"/>
      <c r="C311" s="17" t="str">
        <f>IF(B311="","",IF(AND($B311&gt;=Settings!$C$10,$B311&lt;=Settings!$C$11),"OK","ERROR"))</f>
        <v/>
      </c>
      <c r="D311" s="18"/>
      <c r="E311" s="5"/>
      <c r="F311" s="19"/>
      <c r="G311" s="20" t="str">
        <f t="shared" si="8"/>
        <v/>
      </c>
      <c r="H311" s="18"/>
      <c r="I311" s="5"/>
      <c r="J311" s="21" t="str">
        <f t="shared" si="9"/>
        <v/>
      </c>
      <c r="K311" s="17" t="str">
        <f>IF(I311="","",MATCH($I311,Settings!$F$5:$F$46,0))</f>
        <v/>
      </c>
      <c r="L311" s="18"/>
    </row>
    <row r="312" spans="2:12" x14ac:dyDescent="0.25">
      <c r="B312" s="16"/>
      <c r="C312" s="17" t="str">
        <f>IF(B312="","",IF(AND($B312&gt;=Settings!$C$10,$B312&lt;=Settings!$C$11),"OK","ERROR"))</f>
        <v/>
      </c>
      <c r="D312" s="18"/>
      <c r="E312" s="5"/>
      <c r="F312" s="19"/>
      <c r="G312" s="20" t="str">
        <f t="shared" si="8"/>
        <v/>
      </c>
      <c r="H312" s="18"/>
      <c r="I312" s="5"/>
      <c r="J312" s="21" t="str">
        <f t="shared" si="9"/>
        <v/>
      </c>
      <c r="K312" s="17" t="str">
        <f>IF(I312="","",MATCH($I312,Settings!$F$5:$F$46,0))</f>
        <v/>
      </c>
      <c r="L312" s="18"/>
    </row>
    <row r="313" spans="2:12" x14ac:dyDescent="0.25">
      <c r="B313" s="16"/>
      <c r="C313" s="17" t="str">
        <f>IF(B313="","",IF(AND($B313&gt;=Settings!$C$10,$B313&lt;=Settings!$C$11),"OK","ERROR"))</f>
        <v/>
      </c>
      <c r="D313" s="18"/>
      <c r="E313" s="5"/>
      <c r="F313" s="19"/>
      <c r="G313" s="20" t="str">
        <f t="shared" si="8"/>
        <v/>
      </c>
      <c r="H313" s="18"/>
      <c r="I313" s="5"/>
      <c r="J313" s="21" t="str">
        <f t="shared" si="9"/>
        <v/>
      </c>
      <c r="K313" s="17" t="str">
        <f>IF(I313="","",MATCH($I313,Settings!$F$5:$F$46,0))</f>
        <v/>
      </c>
      <c r="L313" s="18"/>
    </row>
    <row r="314" spans="2:12" x14ac:dyDescent="0.25">
      <c r="B314" s="16"/>
      <c r="C314" s="17" t="str">
        <f>IF(B314="","",IF(AND($B314&gt;=Settings!$C$10,$B314&lt;=Settings!$C$11),"OK","ERROR"))</f>
        <v/>
      </c>
      <c r="D314" s="18"/>
      <c r="E314" s="5"/>
      <c r="F314" s="19"/>
      <c r="G314" s="20" t="str">
        <f t="shared" si="8"/>
        <v/>
      </c>
      <c r="H314" s="18"/>
      <c r="I314" s="5"/>
      <c r="J314" s="21" t="str">
        <f t="shared" si="9"/>
        <v/>
      </c>
      <c r="K314" s="17" t="str">
        <f>IF(I314="","",MATCH($I314,Settings!$F$5:$F$46,0))</f>
        <v/>
      </c>
      <c r="L314" s="18"/>
    </row>
    <row r="315" spans="2:12" x14ac:dyDescent="0.25">
      <c r="B315" s="16"/>
      <c r="C315" s="17" t="str">
        <f>IF(B315="","",IF(AND($B315&gt;=Settings!$C$10,$B315&lt;=Settings!$C$11),"OK","ERROR"))</f>
        <v/>
      </c>
      <c r="D315" s="18"/>
      <c r="E315" s="5"/>
      <c r="F315" s="19"/>
      <c r="G315" s="20" t="str">
        <f t="shared" si="8"/>
        <v/>
      </c>
      <c r="H315" s="18"/>
      <c r="I315" s="5"/>
      <c r="J315" s="21" t="str">
        <f t="shared" si="9"/>
        <v/>
      </c>
      <c r="K315" s="17" t="str">
        <f>IF(I315="","",MATCH($I315,Settings!$F$5:$F$46,0))</f>
        <v/>
      </c>
      <c r="L315" s="18"/>
    </row>
    <row r="316" spans="2:12" x14ac:dyDescent="0.25">
      <c r="B316" s="16"/>
      <c r="C316" s="17" t="str">
        <f>IF(B316="","",IF(AND($B316&gt;=Settings!$C$10,$B316&lt;=Settings!$C$11),"OK","ERROR"))</f>
        <v/>
      </c>
      <c r="D316" s="18"/>
      <c r="E316" s="5"/>
      <c r="F316" s="19"/>
      <c r="G316" s="20" t="str">
        <f t="shared" si="8"/>
        <v/>
      </c>
      <c r="H316" s="18"/>
      <c r="I316" s="5"/>
      <c r="J316" s="21" t="str">
        <f t="shared" si="9"/>
        <v/>
      </c>
      <c r="K316" s="17" t="str">
        <f>IF(I316="","",MATCH($I316,Settings!$F$5:$F$46,0))</f>
        <v/>
      </c>
      <c r="L316" s="18"/>
    </row>
    <row r="317" spans="2:12" x14ac:dyDescent="0.25">
      <c r="B317" s="16"/>
      <c r="C317" s="17" t="str">
        <f>IF(B317="","",IF(AND($B317&gt;=Settings!$C$10,$B317&lt;=Settings!$C$11),"OK","ERROR"))</f>
        <v/>
      </c>
      <c r="D317" s="18"/>
      <c r="E317" s="5"/>
      <c r="F317" s="19"/>
      <c r="G317" s="20" t="str">
        <f t="shared" si="8"/>
        <v/>
      </c>
      <c r="H317" s="18"/>
      <c r="I317" s="5"/>
      <c r="J317" s="21" t="str">
        <f t="shared" si="9"/>
        <v/>
      </c>
      <c r="K317" s="17" t="str">
        <f>IF(I317="","",MATCH($I317,Settings!$F$5:$F$46,0))</f>
        <v/>
      </c>
      <c r="L317" s="18"/>
    </row>
    <row r="318" spans="2:12" x14ac:dyDescent="0.25">
      <c r="B318" s="16"/>
      <c r="C318" s="17" t="str">
        <f>IF(B318="","",IF(AND($B318&gt;=Settings!$C$10,$B318&lt;=Settings!$C$11),"OK","ERROR"))</f>
        <v/>
      </c>
      <c r="D318" s="18"/>
      <c r="E318" s="5"/>
      <c r="F318" s="19"/>
      <c r="G318" s="20" t="str">
        <f t="shared" si="8"/>
        <v/>
      </c>
      <c r="H318" s="18"/>
      <c r="I318" s="5"/>
      <c r="J318" s="21" t="str">
        <f t="shared" si="9"/>
        <v/>
      </c>
      <c r="K318" s="17" t="str">
        <f>IF(I318="","",MATCH($I318,Settings!$F$5:$F$46,0))</f>
        <v/>
      </c>
      <c r="L318" s="18"/>
    </row>
    <row r="319" spans="2:12" x14ac:dyDescent="0.25">
      <c r="B319" s="16"/>
      <c r="C319" s="17" t="str">
        <f>IF(B319="","",IF(AND($B319&gt;=Settings!$C$10,$B319&lt;=Settings!$C$11),"OK","ERROR"))</f>
        <v/>
      </c>
      <c r="D319" s="18"/>
      <c r="E319" s="5"/>
      <c r="F319" s="19"/>
      <c r="G319" s="20" t="str">
        <f t="shared" si="8"/>
        <v/>
      </c>
      <c r="H319" s="18"/>
      <c r="I319" s="5"/>
      <c r="J319" s="21" t="str">
        <f t="shared" si="9"/>
        <v/>
      </c>
      <c r="K319" s="17" t="str">
        <f>IF(I319="","",MATCH($I319,Settings!$F$5:$F$46,0))</f>
        <v/>
      </c>
      <c r="L319" s="18"/>
    </row>
    <row r="320" spans="2:12" x14ac:dyDescent="0.25">
      <c r="B320" s="16"/>
      <c r="C320" s="17" t="str">
        <f>IF(B320="","",IF(AND($B320&gt;=Settings!$C$10,$B320&lt;=Settings!$C$11),"OK","ERROR"))</f>
        <v/>
      </c>
      <c r="D320" s="18"/>
      <c r="E320" s="5"/>
      <c r="F320" s="19"/>
      <c r="G320" s="20" t="str">
        <f t="shared" si="8"/>
        <v/>
      </c>
      <c r="H320" s="18"/>
      <c r="I320" s="5"/>
      <c r="J320" s="21" t="str">
        <f t="shared" si="9"/>
        <v/>
      </c>
      <c r="K320" s="17" t="str">
        <f>IF(I320="","",MATCH($I320,Settings!$F$5:$F$46,0))</f>
        <v/>
      </c>
      <c r="L320" s="18"/>
    </row>
    <row r="321" spans="2:12" x14ac:dyDescent="0.25">
      <c r="B321" s="16"/>
      <c r="C321" s="17" t="str">
        <f>IF(B321="","",IF(AND($B321&gt;=Settings!$C$10,$B321&lt;=Settings!$C$11),"OK","ERROR"))</f>
        <v/>
      </c>
      <c r="D321" s="18"/>
      <c r="E321" s="5"/>
      <c r="F321" s="19"/>
      <c r="G321" s="20" t="str">
        <f t="shared" si="8"/>
        <v/>
      </c>
      <c r="H321" s="18"/>
      <c r="I321" s="5"/>
      <c r="J321" s="21" t="str">
        <f t="shared" si="9"/>
        <v/>
      </c>
      <c r="K321" s="17" t="str">
        <f>IF(I321="","",MATCH($I321,Settings!$F$5:$F$46,0))</f>
        <v/>
      </c>
      <c r="L321" s="18"/>
    </row>
    <row r="322" spans="2:12" x14ac:dyDescent="0.25">
      <c r="B322" s="16"/>
      <c r="C322" s="17" t="str">
        <f>IF(B322="","",IF(AND($B322&gt;=Settings!$C$10,$B322&lt;=Settings!$C$11),"OK","ERROR"))</f>
        <v/>
      </c>
      <c r="D322" s="18"/>
      <c r="E322" s="5"/>
      <c r="F322" s="19"/>
      <c r="G322" s="20" t="str">
        <f t="shared" si="8"/>
        <v/>
      </c>
      <c r="H322" s="18"/>
      <c r="I322" s="5"/>
      <c r="J322" s="21" t="str">
        <f t="shared" si="9"/>
        <v/>
      </c>
      <c r="K322" s="17" t="str">
        <f>IF(I322="","",MATCH($I322,Settings!$F$5:$F$46,0))</f>
        <v/>
      </c>
      <c r="L322" s="18"/>
    </row>
    <row r="323" spans="2:12" x14ac:dyDescent="0.25">
      <c r="B323" s="16"/>
      <c r="C323" s="17" t="str">
        <f>IF(B323="","",IF(AND($B323&gt;=Settings!$C$10,$B323&lt;=Settings!$C$11),"OK","ERROR"))</f>
        <v/>
      </c>
      <c r="D323" s="18"/>
      <c r="E323" s="5"/>
      <c r="F323" s="19"/>
      <c r="G323" s="20" t="str">
        <f t="shared" si="8"/>
        <v/>
      </c>
      <c r="H323" s="18"/>
      <c r="I323" s="5"/>
      <c r="J323" s="21" t="str">
        <f t="shared" si="9"/>
        <v/>
      </c>
      <c r="K323" s="17" t="str">
        <f>IF(I323="","",MATCH($I323,Settings!$F$5:$F$46,0))</f>
        <v/>
      </c>
      <c r="L323" s="18"/>
    </row>
    <row r="324" spans="2:12" x14ac:dyDescent="0.25">
      <c r="B324" s="16"/>
      <c r="C324" s="17" t="str">
        <f>IF(B324="","",IF(AND($B324&gt;=Settings!$C$10,$B324&lt;=Settings!$C$11),"OK","ERROR"))</f>
        <v/>
      </c>
      <c r="D324" s="18"/>
      <c r="E324" s="5"/>
      <c r="F324" s="19"/>
      <c r="G324" s="20" t="str">
        <f t="shared" si="8"/>
        <v/>
      </c>
      <c r="H324" s="18"/>
      <c r="I324" s="5"/>
      <c r="J324" s="21" t="str">
        <f t="shared" si="9"/>
        <v/>
      </c>
      <c r="K324" s="17" t="str">
        <f>IF(I324="","",MATCH($I324,Settings!$F$5:$F$46,0))</f>
        <v/>
      </c>
      <c r="L324" s="18"/>
    </row>
    <row r="325" spans="2:12" x14ac:dyDescent="0.25">
      <c r="B325" s="16"/>
      <c r="C325" s="17" t="str">
        <f>IF(B325="","",IF(AND($B325&gt;=Settings!$C$10,$B325&lt;=Settings!$C$11),"OK","ERROR"))</f>
        <v/>
      </c>
      <c r="D325" s="18"/>
      <c r="E325" s="5"/>
      <c r="F325" s="19"/>
      <c r="G325" s="20" t="str">
        <f t="shared" si="8"/>
        <v/>
      </c>
      <c r="H325" s="18"/>
      <c r="I325" s="5"/>
      <c r="J325" s="21" t="str">
        <f t="shared" si="9"/>
        <v/>
      </c>
      <c r="K325" s="17" t="str">
        <f>IF(I325="","",MATCH($I325,Settings!$F$5:$F$46,0))</f>
        <v/>
      </c>
      <c r="L325" s="18"/>
    </row>
    <row r="326" spans="2:12" x14ac:dyDescent="0.25">
      <c r="B326" s="16"/>
      <c r="C326" s="17" t="str">
        <f>IF(B326="","",IF(AND($B326&gt;=Settings!$C$10,$B326&lt;=Settings!$C$11),"OK","ERROR"))</f>
        <v/>
      </c>
      <c r="D326" s="18"/>
      <c r="E326" s="5"/>
      <c r="F326" s="19"/>
      <c r="G326" s="20" t="str">
        <f t="shared" ref="G326:G389" si="10">IF(F326="","",IF(I326&lt;&gt;"","OK","ERROR"))</f>
        <v/>
      </c>
      <c r="H326" s="18"/>
      <c r="I326" s="5"/>
      <c r="J326" s="21" t="str">
        <f t="shared" si="9"/>
        <v/>
      </c>
      <c r="K326" s="17" t="str">
        <f>IF(I326="","",MATCH($I326,Settings!$F$5:$F$46,0))</f>
        <v/>
      </c>
      <c r="L326" s="18"/>
    </row>
    <row r="327" spans="2:12" x14ac:dyDescent="0.25">
      <c r="B327" s="16"/>
      <c r="C327" s="17" t="str">
        <f>IF(B327="","",IF(AND($B327&gt;=Settings!$C$10,$B327&lt;=Settings!$C$11),"OK","ERROR"))</f>
        <v/>
      </c>
      <c r="D327" s="18"/>
      <c r="E327" s="5"/>
      <c r="F327" s="19"/>
      <c r="G327" s="20" t="str">
        <f t="shared" si="10"/>
        <v/>
      </c>
      <c r="H327" s="18"/>
      <c r="I327" s="5"/>
      <c r="J327" s="21" t="str">
        <f t="shared" ref="J327:J390" si="11">IF(I327="","",IF(ISERROR($K327)=TRUE,"ERROR","OK"))</f>
        <v/>
      </c>
      <c r="K327" s="17" t="str">
        <f>IF(I327="","",MATCH($I327,Settings!$F$5:$F$46,0))</f>
        <v/>
      </c>
      <c r="L327" s="18"/>
    </row>
    <row r="328" spans="2:12" x14ac:dyDescent="0.25">
      <c r="B328" s="16"/>
      <c r="C328" s="17" t="str">
        <f>IF(B328="","",IF(AND($B328&gt;=Settings!$C$10,$B328&lt;=Settings!$C$11),"OK","ERROR"))</f>
        <v/>
      </c>
      <c r="D328" s="18"/>
      <c r="E328" s="5"/>
      <c r="F328" s="19"/>
      <c r="G328" s="20" t="str">
        <f t="shared" si="10"/>
        <v/>
      </c>
      <c r="H328" s="18"/>
      <c r="I328" s="5"/>
      <c r="J328" s="21" t="str">
        <f t="shared" si="11"/>
        <v/>
      </c>
      <c r="K328" s="17" t="str">
        <f>IF(I328="","",MATCH($I328,Settings!$F$5:$F$46,0))</f>
        <v/>
      </c>
      <c r="L328" s="18"/>
    </row>
    <row r="329" spans="2:12" x14ac:dyDescent="0.25">
      <c r="B329" s="16"/>
      <c r="C329" s="17" t="str">
        <f>IF(B329="","",IF(AND($B329&gt;=Settings!$C$10,$B329&lt;=Settings!$C$11),"OK","ERROR"))</f>
        <v/>
      </c>
      <c r="D329" s="18"/>
      <c r="E329" s="5"/>
      <c r="F329" s="19"/>
      <c r="G329" s="20" t="str">
        <f t="shared" si="10"/>
        <v/>
      </c>
      <c r="H329" s="18"/>
      <c r="I329" s="5"/>
      <c r="J329" s="21" t="str">
        <f t="shared" si="11"/>
        <v/>
      </c>
      <c r="K329" s="17" t="str">
        <f>IF(I329="","",MATCH($I329,Settings!$F$5:$F$46,0))</f>
        <v/>
      </c>
      <c r="L329" s="18"/>
    </row>
    <row r="330" spans="2:12" x14ac:dyDescent="0.25">
      <c r="B330" s="16"/>
      <c r="C330" s="17" t="str">
        <f>IF(B330="","",IF(AND($B330&gt;=Settings!$C$10,$B330&lt;=Settings!$C$11),"OK","ERROR"))</f>
        <v/>
      </c>
      <c r="D330" s="18"/>
      <c r="E330" s="5"/>
      <c r="F330" s="19"/>
      <c r="G330" s="20" t="str">
        <f t="shared" si="10"/>
        <v/>
      </c>
      <c r="H330" s="18"/>
      <c r="I330" s="5"/>
      <c r="J330" s="21" t="str">
        <f t="shared" si="11"/>
        <v/>
      </c>
      <c r="K330" s="17" t="str">
        <f>IF(I330="","",MATCH($I330,Settings!$F$5:$F$46,0))</f>
        <v/>
      </c>
      <c r="L330" s="18"/>
    </row>
    <row r="331" spans="2:12" x14ac:dyDescent="0.25">
      <c r="B331" s="16"/>
      <c r="C331" s="17" t="str">
        <f>IF(B331="","",IF(AND($B331&gt;=Settings!$C$10,$B331&lt;=Settings!$C$11),"OK","ERROR"))</f>
        <v/>
      </c>
      <c r="D331" s="18"/>
      <c r="E331" s="5"/>
      <c r="F331" s="19"/>
      <c r="G331" s="20" t="str">
        <f t="shared" si="10"/>
        <v/>
      </c>
      <c r="H331" s="18"/>
      <c r="I331" s="5"/>
      <c r="J331" s="21" t="str">
        <f t="shared" si="11"/>
        <v/>
      </c>
      <c r="K331" s="17" t="str">
        <f>IF(I331="","",MATCH($I331,Settings!$F$5:$F$46,0))</f>
        <v/>
      </c>
      <c r="L331" s="18"/>
    </row>
    <row r="332" spans="2:12" x14ac:dyDescent="0.25">
      <c r="B332" s="16"/>
      <c r="C332" s="17" t="str">
        <f>IF(B332="","",IF(AND($B332&gt;=Settings!$C$10,$B332&lt;=Settings!$C$11),"OK","ERROR"))</f>
        <v/>
      </c>
      <c r="D332" s="18"/>
      <c r="E332" s="5"/>
      <c r="F332" s="19"/>
      <c r="G332" s="20" t="str">
        <f t="shared" si="10"/>
        <v/>
      </c>
      <c r="H332" s="18"/>
      <c r="I332" s="5"/>
      <c r="J332" s="21" t="str">
        <f t="shared" si="11"/>
        <v/>
      </c>
      <c r="K332" s="17" t="str">
        <f>IF(I332="","",MATCH($I332,Settings!$F$5:$F$46,0))</f>
        <v/>
      </c>
      <c r="L332" s="18"/>
    </row>
    <row r="333" spans="2:12" x14ac:dyDescent="0.25">
      <c r="B333" s="16"/>
      <c r="C333" s="17" t="str">
        <f>IF(B333="","",IF(AND($B333&gt;=Settings!$C$10,$B333&lt;=Settings!$C$11),"OK","ERROR"))</f>
        <v/>
      </c>
      <c r="D333" s="18"/>
      <c r="E333" s="5"/>
      <c r="F333" s="19"/>
      <c r="G333" s="20" t="str">
        <f t="shared" si="10"/>
        <v/>
      </c>
      <c r="H333" s="18"/>
      <c r="I333" s="5"/>
      <c r="J333" s="21" t="str">
        <f t="shared" si="11"/>
        <v/>
      </c>
      <c r="K333" s="17" t="str">
        <f>IF(I333="","",MATCH($I333,Settings!$F$5:$F$46,0))</f>
        <v/>
      </c>
      <c r="L333" s="18"/>
    </row>
    <row r="334" spans="2:12" x14ac:dyDescent="0.25">
      <c r="B334" s="16"/>
      <c r="C334" s="17" t="str">
        <f>IF(B334="","",IF(AND($B334&gt;=Settings!$C$10,$B334&lt;=Settings!$C$11),"OK","ERROR"))</f>
        <v/>
      </c>
      <c r="D334" s="18"/>
      <c r="E334" s="5"/>
      <c r="F334" s="19"/>
      <c r="G334" s="20" t="str">
        <f t="shared" si="10"/>
        <v/>
      </c>
      <c r="H334" s="18"/>
      <c r="I334" s="5"/>
      <c r="J334" s="21" t="str">
        <f t="shared" si="11"/>
        <v/>
      </c>
      <c r="K334" s="17" t="str">
        <f>IF(I334="","",MATCH($I334,Settings!$F$5:$F$46,0))</f>
        <v/>
      </c>
      <c r="L334" s="18"/>
    </row>
    <row r="335" spans="2:12" x14ac:dyDescent="0.25">
      <c r="B335" s="16"/>
      <c r="C335" s="17" t="str">
        <f>IF(B335="","",IF(AND($B335&gt;=Settings!$C$10,$B335&lt;=Settings!$C$11),"OK","ERROR"))</f>
        <v/>
      </c>
      <c r="D335" s="18"/>
      <c r="E335" s="5"/>
      <c r="F335" s="19"/>
      <c r="G335" s="20" t="str">
        <f t="shared" si="10"/>
        <v/>
      </c>
      <c r="H335" s="18"/>
      <c r="I335" s="5"/>
      <c r="J335" s="21" t="str">
        <f t="shared" si="11"/>
        <v/>
      </c>
      <c r="K335" s="17" t="str">
        <f>IF(I335="","",MATCH($I335,Settings!$F$5:$F$46,0))</f>
        <v/>
      </c>
      <c r="L335" s="18"/>
    </row>
    <row r="336" spans="2:12" x14ac:dyDescent="0.25">
      <c r="B336" s="16"/>
      <c r="C336" s="17" t="str">
        <f>IF(B336="","",IF(AND($B336&gt;=Settings!$C$10,$B336&lt;=Settings!$C$11),"OK","ERROR"))</f>
        <v/>
      </c>
      <c r="D336" s="18"/>
      <c r="E336" s="5"/>
      <c r="F336" s="19"/>
      <c r="G336" s="20" t="str">
        <f t="shared" si="10"/>
        <v/>
      </c>
      <c r="H336" s="18"/>
      <c r="I336" s="5"/>
      <c r="J336" s="21" t="str">
        <f t="shared" si="11"/>
        <v/>
      </c>
      <c r="K336" s="17" t="str">
        <f>IF(I336="","",MATCH($I336,Settings!$F$5:$F$46,0))</f>
        <v/>
      </c>
      <c r="L336" s="18"/>
    </row>
    <row r="337" spans="2:12" x14ac:dyDescent="0.25">
      <c r="B337" s="16"/>
      <c r="C337" s="17" t="str">
        <f>IF(B337="","",IF(AND($B337&gt;=Settings!$C$10,$B337&lt;=Settings!$C$11),"OK","ERROR"))</f>
        <v/>
      </c>
      <c r="D337" s="18"/>
      <c r="E337" s="5"/>
      <c r="F337" s="19"/>
      <c r="G337" s="20" t="str">
        <f t="shared" si="10"/>
        <v/>
      </c>
      <c r="H337" s="18"/>
      <c r="I337" s="5"/>
      <c r="J337" s="21" t="str">
        <f t="shared" si="11"/>
        <v/>
      </c>
      <c r="K337" s="17" t="str">
        <f>IF(I337="","",MATCH($I337,Settings!$F$5:$F$46,0))</f>
        <v/>
      </c>
      <c r="L337" s="18"/>
    </row>
    <row r="338" spans="2:12" x14ac:dyDescent="0.25">
      <c r="B338" s="16"/>
      <c r="C338" s="17" t="str">
        <f>IF(B338="","",IF(AND($B338&gt;=Settings!$C$10,$B338&lt;=Settings!$C$11),"OK","ERROR"))</f>
        <v/>
      </c>
      <c r="D338" s="18"/>
      <c r="E338" s="5"/>
      <c r="F338" s="19"/>
      <c r="G338" s="20" t="str">
        <f t="shared" si="10"/>
        <v/>
      </c>
      <c r="H338" s="18"/>
      <c r="I338" s="5"/>
      <c r="J338" s="21" t="str">
        <f t="shared" si="11"/>
        <v/>
      </c>
      <c r="K338" s="17" t="str">
        <f>IF(I338="","",MATCH($I338,Settings!$F$5:$F$46,0))</f>
        <v/>
      </c>
      <c r="L338" s="18"/>
    </row>
    <row r="339" spans="2:12" x14ac:dyDescent="0.25">
      <c r="B339" s="16"/>
      <c r="C339" s="17" t="str">
        <f>IF(B339="","",IF(AND($B339&gt;=Settings!$C$10,$B339&lt;=Settings!$C$11),"OK","ERROR"))</f>
        <v/>
      </c>
      <c r="D339" s="18"/>
      <c r="E339" s="5"/>
      <c r="F339" s="19"/>
      <c r="G339" s="20" t="str">
        <f t="shared" si="10"/>
        <v/>
      </c>
      <c r="H339" s="18"/>
      <c r="I339" s="5"/>
      <c r="J339" s="21" t="str">
        <f t="shared" si="11"/>
        <v/>
      </c>
      <c r="K339" s="17" t="str">
        <f>IF(I339="","",MATCH($I339,Settings!$F$5:$F$46,0))</f>
        <v/>
      </c>
      <c r="L339" s="18"/>
    </row>
    <row r="340" spans="2:12" x14ac:dyDescent="0.25">
      <c r="B340" s="16"/>
      <c r="C340" s="17" t="str">
        <f>IF(B340="","",IF(AND($B340&gt;=Settings!$C$10,$B340&lt;=Settings!$C$11),"OK","ERROR"))</f>
        <v/>
      </c>
      <c r="D340" s="18"/>
      <c r="E340" s="5"/>
      <c r="F340" s="19"/>
      <c r="G340" s="20" t="str">
        <f t="shared" si="10"/>
        <v/>
      </c>
      <c r="H340" s="18"/>
      <c r="I340" s="5"/>
      <c r="J340" s="21" t="str">
        <f t="shared" si="11"/>
        <v/>
      </c>
      <c r="K340" s="17" t="str">
        <f>IF(I340="","",MATCH($I340,Settings!$F$5:$F$46,0))</f>
        <v/>
      </c>
      <c r="L340" s="18"/>
    </row>
    <row r="341" spans="2:12" x14ac:dyDescent="0.25">
      <c r="B341" s="16"/>
      <c r="C341" s="17" t="str">
        <f>IF(B341="","",IF(AND($B341&gt;=Settings!$C$10,$B341&lt;=Settings!$C$11),"OK","ERROR"))</f>
        <v/>
      </c>
      <c r="D341" s="18"/>
      <c r="E341" s="5"/>
      <c r="F341" s="19"/>
      <c r="G341" s="20" t="str">
        <f t="shared" si="10"/>
        <v/>
      </c>
      <c r="H341" s="18"/>
      <c r="I341" s="5"/>
      <c r="J341" s="21" t="str">
        <f t="shared" si="11"/>
        <v/>
      </c>
      <c r="K341" s="17" t="str">
        <f>IF(I341="","",MATCH($I341,Settings!$F$5:$F$46,0))</f>
        <v/>
      </c>
      <c r="L341" s="18"/>
    </row>
    <row r="342" spans="2:12" x14ac:dyDescent="0.25">
      <c r="B342" s="16"/>
      <c r="C342" s="17" t="str">
        <f>IF(B342="","",IF(AND($B342&gt;=Settings!$C$10,$B342&lt;=Settings!$C$11),"OK","ERROR"))</f>
        <v/>
      </c>
      <c r="D342" s="18"/>
      <c r="E342" s="5"/>
      <c r="F342" s="19"/>
      <c r="G342" s="20" t="str">
        <f t="shared" si="10"/>
        <v/>
      </c>
      <c r="H342" s="18"/>
      <c r="I342" s="5"/>
      <c r="J342" s="21" t="str">
        <f t="shared" si="11"/>
        <v/>
      </c>
      <c r="K342" s="17" t="str">
        <f>IF(I342="","",MATCH($I342,Settings!$F$5:$F$46,0))</f>
        <v/>
      </c>
      <c r="L342" s="18"/>
    </row>
    <row r="343" spans="2:12" x14ac:dyDescent="0.25">
      <c r="B343" s="16"/>
      <c r="C343" s="17" t="str">
        <f>IF(B343="","",IF(AND($B343&gt;=Settings!$C$10,$B343&lt;=Settings!$C$11),"OK","ERROR"))</f>
        <v/>
      </c>
      <c r="D343" s="18"/>
      <c r="E343" s="5"/>
      <c r="F343" s="19"/>
      <c r="G343" s="20" t="str">
        <f t="shared" si="10"/>
        <v/>
      </c>
      <c r="H343" s="18"/>
      <c r="I343" s="5"/>
      <c r="J343" s="21" t="str">
        <f t="shared" si="11"/>
        <v/>
      </c>
      <c r="K343" s="17" t="str">
        <f>IF(I343="","",MATCH($I343,Settings!$F$5:$F$46,0))</f>
        <v/>
      </c>
      <c r="L343" s="18"/>
    </row>
    <row r="344" spans="2:12" x14ac:dyDescent="0.25">
      <c r="B344" s="16"/>
      <c r="C344" s="17" t="str">
        <f>IF(B344="","",IF(AND($B344&gt;=Settings!$C$10,$B344&lt;=Settings!$C$11),"OK","ERROR"))</f>
        <v/>
      </c>
      <c r="D344" s="18"/>
      <c r="E344" s="5"/>
      <c r="F344" s="19"/>
      <c r="G344" s="20" t="str">
        <f t="shared" si="10"/>
        <v/>
      </c>
      <c r="H344" s="18"/>
      <c r="I344" s="5"/>
      <c r="J344" s="21" t="str">
        <f t="shared" si="11"/>
        <v/>
      </c>
      <c r="K344" s="17" t="str">
        <f>IF(I344="","",MATCH($I344,Settings!$F$5:$F$46,0))</f>
        <v/>
      </c>
      <c r="L344" s="18"/>
    </row>
    <row r="345" spans="2:12" x14ac:dyDescent="0.25">
      <c r="B345" s="16"/>
      <c r="C345" s="17" t="str">
        <f>IF(B345="","",IF(AND($B345&gt;=Settings!$C$10,$B345&lt;=Settings!$C$11),"OK","ERROR"))</f>
        <v/>
      </c>
      <c r="D345" s="18"/>
      <c r="E345" s="5"/>
      <c r="F345" s="19"/>
      <c r="G345" s="20" t="str">
        <f t="shared" si="10"/>
        <v/>
      </c>
      <c r="H345" s="18"/>
      <c r="I345" s="5"/>
      <c r="J345" s="21" t="str">
        <f t="shared" si="11"/>
        <v/>
      </c>
      <c r="K345" s="17" t="str">
        <f>IF(I345="","",MATCH($I345,Settings!$F$5:$F$46,0))</f>
        <v/>
      </c>
      <c r="L345" s="18"/>
    </row>
    <row r="346" spans="2:12" x14ac:dyDescent="0.25">
      <c r="B346" s="16"/>
      <c r="C346" s="17" t="str">
        <f>IF(B346="","",IF(AND($B346&gt;=Settings!$C$10,$B346&lt;=Settings!$C$11),"OK","ERROR"))</f>
        <v/>
      </c>
      <c r="D346" s="18"/>
      <c r="E346" s="5"/>
      <c r="F346" s="19"/>
      <c r="G346" s="20" t="str">
        <f t="shared" si="10"/>
        <v/>
      </c>
      <c r="H346" s="18"/>
      <c r="I346" s="5"/>
      <c r="J346" s="21" t="str">
        <f t="shared" si="11"/>
        <v/>
      </c>
      <c r="K346" s="17" t="str">
        <f>IF(I346="","",MATCH($I346,Settings!$F$5:$F$46,0))</f>
        <v/>
      </c>
      <c r="L346" s="18"/>
    </row>
    <row r="347" spans="2:12" x14ac:dyDescent="0.25">
      <c r="B347" s="16"/>
      <c r="C347" s="17" t="str">
        <f>IF(B347="","",IF(AND($B347&gt;=Settings!$C$10,$B347&lt;=Settings!$C$11),"OK","ERROR"))</f>
        <v/>
      </c>
      <c r="D347" s="18"/>
      <c r="E347" s="5"/>
      <c r="F347" s="19"/>
      <c r="G347" s="20" t="str">
        <f t="shared" si="10"/>
        <v/>
      </c>
      <c r="H347" s="18"/>
      <c r="I347" s="5"/>
      <c r="J347" s="21" t="str">
        <f t="shared" si="11"/>
        <v/>
      </c>
      <c r="K347" s="17" t="str">
        <f>IF(I347="","",MATCH($I347,Settings!$F$5:$F$46,0))</f>
        <v/>
      </c>
      <c r="L347" s="18"/>
    </row>
    <row r="348" spans="2:12" x14ac:dyDescent="0.25">
      <c r="B348" s="16"/>
      <c r="C348" s="17" t="str">
        <f>IF(B348="","",IF(AND($B348&gt;=Settings!$C$10,$B348&lt;=Settings!$C$11),"OK","ERROR"))</f>
        <v/>
      </c>
      <c r="D348" s="18"/>
      <c r="E348" s="5"/>
      <c r="F348" s="19"/>
      <c r="G348" s="20" t="str">
        <f t="shared" si="10"/>
        <v/>
      </c>
      <c r="H348" s="18"/>
      <c r="I348" s="5"/>
      <c r="J348" s="21" t="str">
        <f t="shared" si="11"/>
        <v/>
      </c>
      <c r="K348" s="17" t="str">
        <f>IF(I348="","",MATCH($I348,Settings!$F$5:$F$46,0))</f>
        <v/>
      </c>
      <c r="L348" s="18"/>
    </row>
    <row r="349" spans="2:12" x14ac:dyDescent="0.25">
      <c r="B349" s="16"/>
      <c r="C349" s="17" t="str">
        <f>IF(B349="","",IF(AND($B349&gt;=Settings!$C$10,$B349&lt;=Settings!$C$11),"OK","ERROR"))</f>
        <v/>
      </c>
      <c r="D349" s="18"/>
      <c r="E349" s="5"/>
      <c r="F349" s="19"/>
      <c r="G349" s="20" t="str">
        <f t="shared" si="10"/>
        <v/>
      </c>
      <c r="H349" s="18"/>
      <c r="I349" s="5"/>
      <c r="J349" s="21" t="str">
        <f t="shared" si="11"/>
        <v/>
      </c>
      <c r="K349" s="17" t="str">
        <f>IF(I349="","",MATCH($I349,Settings!$F$5:$F$46,0))</f>
        <v/>
      </c>
      <c r="L349" s="18"/>
    </row>
    <row r="350" spans="2:12" x14ac:dyDescent="0.25">
      <c r="B350" s="16"/>
      <c r="C350" s="17" t="str">
        <f>IF(B350="","",IF(AND($B350&gt;=Settings!$C$10,$B350&lt;=Settings!$C$11),"OK","ERROR"))</f>
        <v/>
      </c>
      <c r="D350" s="18"/>
      <c r="E350" s="5"/>
      <c r="F350" s="19"/>
      <c r="G350" s="20" t="str">
        <f t="shared" si="10"/>
        <v/>
      </c>
      <c r="H350" s="18"/>
      <c r="I350" s="5"/>
      <c r="J350" s="21" t="str">
        <f t="shared" si="11"/>
        <v/>
      </c>
      <c r="K350" s="17" t="str">
        <f>IF(I350="","",MATCH($I350,Settings!$F$5:$F$46,0))</f>
        <v/>
      </c>
      <c r="L350" s="18"/>
    </row>
    <row r="351" spans="2:12" x14ac:dyDescent="0.25">
      <c r="B351" s="16"/>
      <c r="C351" s="17" t="str">
        <f>IF(B351="","",IF(AND($B351&gt;=Settings!$C$10,$B351&lt;=Settings!$C$11),"OK","ERROR"))</f>
        <v/>
      </c>
      <c r="D351" s="18"/>
      <c r="E351" s="5"/>
      <c r="F351" s="19"/>
      <c r="G351" s="20" t="str">
        <f t="shared" si="10"/>
        <v/>
      </c>
      <c r="H351" s="18"/>
      <c r="I351" s="5"/>
      <c r="J351" s="21" t="str">
        <f t="shared" si="11"/>
        <v/>
      </c>
      <c r="K351" s="17" t="str">
        <f>IF(I351="","",MATCH($I351,Settings!$F$5:$F$46,0))</f>
        <v/>
      </c>
      <c r="L351" s="18"/>
    </row>
    <row r="352" spans="2:12" x14ac:dyDescent="0.25">
      <c r="B352" s="16"/>
      <c r="C352" s="17" t="str">
        <f>IF(B352="","",IF(AND($B352&gt;=Settings!$C$10,$B352&lt;=Settings!$C$11),"OK","ERROR"))</f>
        <v/>
      </c>
      <c r="D352" s="18"/>
      <c r="E352" s="5"/>
      <c r="F352" s="19"/>
      <c r="G352" s="20" t="str">
        <f t="shared" si="10"/>
        <v/>
      </c>
      <c r="H352" s="18"/>
      <c r="I352" s="5"/>
      <c r="J352" s="21" t="str">
        <f t="shared" si="11"/>
        <v/>
      </c>
      <c r="K352" s="17" t="str">
        <f>IF(I352="","",MATCH($I352,Settings!$F$5:$F$46,0))</f>
        <v/>
      </c>
      <c r="L352" s="18"/>
    </row>
    <row r="353" spans="2:12" x14ac:dyDescent="0.25">
      <c r="B353" s="16"/>
      <c r="C353" s="17" t="str">
        <f>IF(B353="","",IF(AND($B353&gt;=Settings!$C$10,$B353&lt;=Settings!$C$11),"OK","ERROR"))</f>
        <v/>
      </c>
      <c r="D353" s="18"/>
      <c r="E353" s="5"/>
      <c r="F353" s="19"/>
      <c r="G353" s="20" t="str">
        <f t="shared" si="10"/>
        <v/>
      </c>
      <c r="H353" s="18"/>
      <c r="I353" s="5"/>
      <c r="J353" s="21" t="str">
        <f t="shared" si="11"/>
        <v/>
      </c>
      <c r="K353" s="17" t="str">
        <f>IF(I353="","",MATCH($I353,Settings!$F$5:$F$46,0))</f>
        <v/>
      </c>
      <c r="L353" s="18"/>
    </row>
    <row r="354" spans="2:12" x14ac:dyDescent="0.25">
      <c r="B354" s="16"/>
      <c r="C354" s="17" t="str">
        <f>IF(B354="","",IF(AND($B354&gt;=Settings!$C$10,$B354&lt;=Settings!$C$11),"OK","ERROR"))</f>
        <v/>
      </c>
      <c r="D354" s="18"/>
      <c r="E354" s="5"/>
      <c r="F354" s="19"/>
      <c r="G354" s="20" t="str">
        <f t="shared" si="10"/>
        <v/>
      </c>
      <c r="H354" s="18"/>
      <c r="I354" s="5"/>
      <c r="J354" s="21" t="str">
        <f t="shared" si="11"/>
        <v/>
      </c>
      <c r="K354" s="17" t="str">
        <f>IF(I354="","",MATCH($I354,Settings!$F$5:$F$46,0))</f>
        <v/>
      </c>
      <c r="L354" s="18"/>
    </row>
    <row r="355" spans="2:12" x14ac:dyDescent="0.25">
      <c r="B355" s="16"/>
      <c r="C355" s="17" t="str">
        <f>IF(B355="","",IF(AND($B355&gt;=Settings!$C$10,$B355&lt;=Settings!$C$11),"OK","ERROR"))</f>
        <v/>
      </c>
      <c r="D355" s="18"/>
      <c r="E355" s="5"/>
      <c r="F355" s="19"/>
      <c r="G355" s="20" t="str">
        <f t="shared" si="10"/>
        <v/>
      </c>
      <c r="H355" s="18"/>
      <c r="I355" s="5"/>
      <c r="J355" s="21" t="str">
        <f t="shared" si="11"/>
        <v/>
      </c>
      <c r="K355" s="17" t="str">
        <f>IF(I355="","",MATCH($I355,Settings!$F$5:$F$46,0))</f>
        <v/>
      </c>
      <c r="L355" s="18"/>
    </row>
    <row r="356" spans="2:12" x14ac:dyDescent="0.25">
      <c r="B356" s="16"/>
      <c r="C356" s="17" t="str">
        <f>IF(B356="","",IF(AND($B356&gt;=Settings!$C$10,$B356&lt;=Settings!$C$11),"OK","ERROR"))</f>
        <v/>
      </c>
      <c r="D356" s="18"/>
      <c r="E356" s="5"/>
      <c r="F356" s="19"/>
      <c r="G356" s="20" t="str">
        <f t="shared" si="10"/>
        <v/>
      </c>
      <c r="H356" s="18"/>
      <c r="I356" s="5"/>
      <c r="J356" s="21" t="str">
        <f t="shared" si="11"/>
        <v/>
      </c>
      <c r="K356" s="17" t="str">
        <f>IF(I356="","",MATCH($I356,Settings!$F$5:$F$46,0))</f>
        <v/>
      </c>
      <c r="L356" s="18"/>
    </row>
    <row r="357" spans="2:12" x14ac:dyDescent="0.25">
      <c r="B357" s="16"/>
      <c r="C357" s="17" t="str">
        <f>IF(B357="","",IF(AND($B357&gt;=Settings!$C$10,$B357&lt;=Settings!$C$11),"OK","ERROR"))</f>
        <v/>
      </c>
      <c r="D357" s="18"/>
      <c r="E357" s="5"/>
      <c r="F357" s="19"/>
      <c r="G357" s="20" t="str">
        <f t="shared" si="10"/>
        <v/>
      </c>
      <c r="H357" s="18"/>
      <c r="I357" s="5"/>
      <c r="J357" s="21" t="str">
        <f t="shared" si="11"/>
        <v/>
      </c>
      <c r="K357" s="17" t="str">
        <f>IF(I357="","",MATCH($I357,Settings!$F$5:$F$46,0))</f>
        <v/>
      </c>
      <c r="L357" s="18"/>
    </row>
    <row r="358" spans="2:12" x14ac:dyDescent="0.25">
      <c r="B358" s="16"/>
      <c r="C358" s="17" t="str">
        <f>IF(B358="","",IF(AND($B358&gt;=Settings!$C$10,$B358&lt;=Settings!$C$11),"OK","ERROR"))</f>
        <v/>
      </c>
      <c r="D358" s="18"/>
      <c r="E358" s="5"/>
      <c r="F358" s="19"/>
      <c r="G358" s="20" t="str">
        <f t="shared" si="10"/>
        <v/>
      </c>
      <c r="H358" s="18"/>
      <c r="I358" s="5"/>
      <c r="J358" s="21" t="str">
        <f t="shared" si="11"/>
        <v/>
      </c>
      <c r="K358" s="17" t="str">
        <f>IF(I358="","",MATCH($I358,Settings!$F$5:$F$46,0))</f>
        <v/>
      </c>
      <c r="L358" s="18"/>
    </row>
    <row r="359" spans="2:12" x14ac:dyDescent="0.25">
      <c r="B359" s="16"/>
      <c r="C359" s="17" t="str">
        <f>IF(B359="","",IF(AND($B359&gt;=Settings!$C$10,$B359&lt;=Settings!$C$11),"OK","ERROR"))</f>
        <v/>
      </c>
      <c r="D359" s="18"/>
      <c r="E359" s="5"/>
      <c r="F359" s="19"/>
      <c r="G359" s="20" t="str">
        <f t="shared" si="10"/>
        <v/>
      </c>
      <c r="H359" s="18"/>
      <c r="I359" s="5"/>
      <c r="J359" s="21" t="str">
        <f t="shared" si="11"/>
        <v/>
      </c>
      <c r="K359" s="17" t="str">
        <f>IF(I359="","",MATCH($I359,Settings!$F$5:$F$46,0))</f>
        <v/>
      </c>
      <c r="L359" s="18"/>
    </row>
    <row r="360" spans="2:12" x14ac:dyDescent="0.25">
      <c r="B360" s="16"/>
      <c r="C360" s="17" t="str">
        <f>IF(B360="","",IF(AND($B360&gt;=Settings!$C$10,$B360&lt;=Settings!$C$11),"OK","ERROR"))</f>
        <v/>
      </c>
      <c r="D360" s="18"/>
      <c r="E360" s="5"/>
      <c r="F360" s="19"/>
      <c r="G360" s="20" t="str">
        <f t="shared" si="10"/>
        <v/>
      </c>
      <c r="H360" s="18"/>
      <c r="I360" s="5"/>
      <c r="J360" s="21" t="str">
        <f t="shared" si="11"/>
        <v/>
      </c>
      <c r="K360" s="17" t="str">
        <f>IF(I360="","",MATCH($I360,Settings!$F$5:$F$46,0))</f>
        <v/>
      </c>
      <c r="L360" s="18"/>
    </row>
    <row r="361" spans="2:12" x14ac:dyDescent="0.25">
      <c r="B361" s="16"/>
      <c r="C361" s="17" t="str">
        <f>IF(B361="","",IF(AND($B361&gt;=Settings!$C$10,$B361&lt;=Settings!$C$11),"OK","ERROR"))</f>
        <v/>
      </c>
      <c r="D361" s="18"/>
      <c r="E361" s="5"/>
      <c r="F361" s="19"/>
      <c r="G361" s="20" t="str">
        <f t="shared" si="10"/>
        <v/>
      </c>
      <c r="H361" s="18"/>
      <c r="I361" s="5"/>
      <c r="J361" s="21" t="str">
        <f t="shared" si="11"/>
        <v/>
      </c>
      <c r="K361" s="17" t="str">
        <f>IF(I361="","",MATCH($I361,Settings!$F$5:$F$46,0))</f>
        <v/>
      </c>
      <c r="L361" s="18"/>
    </row>
    <row r="362" spans="2:12" x14ac:dyDescent="0.25">
      <c r="B362" s="16"/>
      <c r="C362" s="17" t="str">
        <f>IF(B362="","",IF(AND($B362&gt;=Settings!$C$10,$B362&lt;=Settings!$C$11),"OK","ERROR"))</f>
        <v/>
      </c>
      <c r="D362" s="18"/>
      <c r="E362" s="5"/>
      <c r="F362" s="19"/>
      <c r="G362" s="20" t="str">
        <f t="shared" si="10"/>
        <v/>
      </c>
      <c r="H362" s="18"/>
      <c r="I362" s="5"/>
      <c r="J362" s="21" t="str">
        <f t="shared" si="11"/>
        <v/>
      </c>
      <c r="K362" s="17" t="str">
        <f>IF(I362="","",MATCH($I362,Settings!$F$5:$F$46,0))</f>
        <v/>
      </c>
      <c r="L362" s="18"/>
    </row>
    <row r="363" spans="2:12" x14ac:dyDescent="0.25">
      <c r="B363" s="16"/>
      <c r="C363" s="17" t="str">
        <f>IF(B363="","",IF(AND($B363&gt;=Settings!$C$10,$B363&lt;=Settings!$C$11),"OK","ERROR"))</f>
        <v/>
      </c>
      <c r="D363" s="18"/>
      <c r="E363" s="5"/>
      <c r="F363" s="19"/>
      <c r="G363" s="20" t="str">
        <f t="shared" si="10"/>
        <v/>
      </c>
      <c r="H363" s="18"/>
      <c r="I363" s="5"/>
      <c r="J363" s="21" t="str">
        <f t="shared" si="11"/>
        <v/>
      </c>
      <c r="K363" s="17" t="str">
        <f>IF(I363="","",MATCH($I363,Settings!$F$5:$F$46,0))</f>
        <v/>
      </c>
      <c r="L363" s="18"/>
    </row>
    <row r="364" spans="2:12" x14ac:dyDescent="0.25">
      <c r="B364" s="16"/>
      <c r="C364" s="17" t="str">
        <f>IF(B364="","",IF(AND($B364&gt;=Settings!$C$10,$B364&lt;=Settings!$C$11),"OK","ERROR"))</f>
        <v/>
      </c>
      <c r="D364" s="18"/>
      <c r="E364" s="5"/>
      <c r="F364" s="19"/>
      <c r="G364" s="20" t="str">
        <f t="shared" si="10"/>
        <v/>
      </c>
      <c r="H364" s="18"/>
      <c r="I364" s="5"/>
      <c r="J364" s="21" t="str">
        <f t="shared" si="11"/>
        <v/>
      </c>
      <c r="K364" s="17" t="str">
        <f>IF(I364="","",MATCH($I364,Settings!$F$5:$F$46,0))</f>
        <v/>
      </c>
      <c r="L364" s="18"/>
    </row>
    <row r="365" spans="2:12" x14ac:dyDescent="0.25">
      <c r="B365" s="16"/>
      <c r="C365" s="17" t="str">
        <f>IF(B365="","",IF(AND($B365&gt;=Settings!$C$10,$B365&lt;=Settings!$C$11),"OK","ERROR"))</f>
        <v/>
      </c>
      <c r="D365" s="18"/>
      <c r="E365" s="5"/>
      <c r="F365" s="19"/>
      <c r="G365" s="20" t="str">
        <f t="shared" si="10"/>
        <v/>
      </c>
      <c r="H365" s="18"/>
      <c r="I365" s="5"/>
      <c r="J365" s="21" t="str">
        <f t="shared" si="11"/>
        <v/>
      </c>
      <c r="K365" s="17" t="str">
        <f>IF(I365="","",MATCH($I365,Settings!$F$5:$F$46,0))</f>
        <v/>
      </c>
      <c r="L365" s="18"/>
    </row>
    <row r="366" spans="2:12" x14ac:dyDescent="0.25">
      <c r="B366" s="16"/>
      <c r="C366" s="17" t="str">
        <f>IF(B366="","",IF(AND($B366&gt;=Settings!$C$10,$B366&lt;=Settings!$C$11),"OK","ERROR"))</f>
        <v/>
      </c>
      <c r="D366" s="18"/>
      <c r="E366" s="5"/>
      <c r="F366" s="19"/>
      <c r="G366" s="20" t="str">
        <f t="shared" si="10"/>
        <v/>
      </c>
      <c r="H366" s="18"/>
      <c r="I366" s="5"/>
      <c r="J366" s="21" t="str">
        <f t="shared" si="11"/>
        <v/>
      </c>
      <c r="K366" s="17" t="str">
        <f>IF(I366="","",MATCH($I366,Settings!$F$5:$F$46,0))</f>
        <v/>
      </c>
      <c r="L366" s="18"/>
    </row>
    <row r="367" spans="2:12" x14ac:dyDescent="0.25">
      <c r="B367" s="16"/>
      <c r="C367" s="17" t="str">
        <f>IF(B367="","",IF(AND($B367&gt;=Settings!$C$10,$B367&lt;=Settings!$C$11),"OK","ERROR"))</f>
        <v/>
      </c>
      <c r="D367" s="18"/>
      <c r="E367" s="5"/>
      <c r="F367" s="19"/>
      <c r="G367" s="20" t="str">
        <f t="shared" si="10"/>
        <v/>
      </c>
      <c r="H367" s="18"/>
      <c r="I367" s="5"/>
      <c r="J367" s="21" t="str">
        <f t="shared" si="11"/>
        <v/>
      </c>
      <c r="K367" s="17" t="str">
        <f>IF(I367="","",MATCH($I367,Settings!$F$5:$F$46,0))</f>
        <v/>
      </c>
      <c r="L367" s="18"/>
    </row>
    <row r="368" spans="2:12" x14ac:dyDescent="0.25">
      <c r="B368" s="16"/>
      <c r="C368" s="17" t="str">
        <f>IF(B368="","",IF(AND($B368&gt;=Settings!$C$10,$B368&lt;=Settings!$C$11),"OK","ERROR"))</f>
        <v/>
      </c>
      <c r="D368" s="18"/>
      <c r="E368" s="5"/>
      <c r="F368" s="19"/>
      <c r="G368" s="20" t="str">
        <f t="shared" si="10"/>
        <v/>
      </c>
      <c r="H368" s="18"/>
      <c r="I368" s="5"/>
      <c r="J368" s="21" t="str">
        <f t="shared" si="11"/>
        <v/>
      </c>
      <c r="K368" s="17" t="str">
        <f>IF(I368="","",MATCH($I368,Settings!$F$5:$F$46,0))</f>
        <v/>
      </c>
      <c r="L368" s="18"/>
    </row>
    <row r="369" spans="2:12" x14ac:dyDescent="0.25">
      <c r="B369" s="16"/>
      <c r="C369" s="17" t="str">
        <f>IF(B369="","",IF(AND($B369&gt;=Settings!$C$10,$B369&lt;=Settings!$C$11),"OK","ERROR"))</f>
        <v/>
      </c>
      <c r="D369" s="18"/>
      <c r="E369" s="5"/>
      <c r="F369" s="19"/>
      <c r="G369" s="20" t="str">
        <f t="shared" si="10"/>
        <v/>
      </c>
      <c r="H369" s="18"/>
      <c r="I369" s="5"/>
      <c r="J369" s="21" t="str">
        <f t="shared" si="11"/>
        <v/>
      </c>
      <c r="K369" s="17" t="str">
        <f>IF(I369="","",MATCH($I369,Settings!$F$5:$F$46,0))</f>
        <v/>
      </c>
      <c r="L369" s="18"/>
    </row>
    <row r="370" spans="2:12" x14ac:dyDescent="0.25">
      <c r="B370" s="16"/>
      <c r="C370" s="17" t="str">
        <f>IF(B370="","",IF(AND($B370&gt;=Settings!$C$10,$B370&lt;=Settings!$C$11),"OK","ERROR"))</f>
        <v/>
      </c>
      <c r="D370" s="18"/>
      <c r="E370" s="5"/>
      <c r="F370" s="19"/>
      <c r="G370" s="20" t="str">
        <f t="shared" si="10"/>
        <v/>
      </c>
      <c r="H370" s="18"/>
      <c r="I370" s="5"/>
      <c r="J370" s="21" t="str">
        <f t="shared" si="11"/>
        <v/>
      </c>
      <c r="K370" s="17" t="str">
        <f>IF(I370="","",MATCH($I370,Settings!$F$5:$F$46,0))</f>
        <v/>
      </c>
      <c r="L370" s="18"/>
    </row>
    <row r="371" spans="2:12" x14ac:dyDescent="0.25">
      <c r="B371" s="16"/>
      <c r="C371" s="17" t="str">
        <f>IF(B371="","",IF(AND($B371&gt;=Settings!$C$10,$B371&lt;=Settings!$C$11),"OK","ERROR"))</f>
        <v/>
      </c>
      <c r="D371" s="18"/>
      <c r="E371" s="5"/>
      <c r="F371" s="19"/>
      <c r="G371" s="20" t="str">
        <f t="shared" si="10"/>
        <v/>
      </c>
      <c r="H371" s="18"/>
      <c r="I371" s="5"/>
      <c r="J371" s="21" t="str">
        <f t="shared" si="11"/>
        <v/>
      </c>
      <c r="K371" s="17" t="str">
        <f>IF(I371="","",MATCH($I371,Settings!$F$5:$F$46,0))</f>
        <v/>
      </c>
      <c r="L371" s="18"/>
    </row>
    <row r="372" spans="2:12" x14ac:dyDescent="0.25">
      <c r="B372" s="16"/>
      <c r="C372" s="17" t="str">
        <f>IF(B372="","",IF(AND($B372&gt;=Settings!$C$10,$B372&lt;=Settings!$C$11),"OK","ERROR"))</f>
        <v/>
      </c>
      <c r="D372" s="18"/>
      <c r="E372" s="5"/>
      <c r="F372" s="19"/>
      <c r="G372" s="20" t="str">
        <f t="shared" si="10"/>
        <v/>
      </c>
      <c r="H372" s="18"/>
      <c r="I372" s="5"/>
      <c r="J372" s="21" t="str">
        <f t="shared" si="11"/>
        <v/>
      </c>
      <c r="K372" s="17" t="str">
        <f>IF(I372="","",MATCH($I372,Settings!$F$5:$F$46,0))</f>
        <v/>
      </c>
      <c r="L372" s="18"/>
    </row>
    <row r="373" spans="2:12" x14ac:dyDescent="0.25">
      <c r="B373" s="16"/>
      <c r="C373" s="17" t="str">
        <f>IF(B373="","",IF(AND($B373&gt;=Settings!$C$10,$B373&lt;=Settings!$C$11),"OK","ERROR"))</f>
        <v/>
      </c>
      <c r="D373" s="18"/>
      <c r="E373" s="5"/>
      <c r="F373" s="19"/>
      <c r="G373" s="20" t="str">
        <f t="shared" si="10"/>
        <v/>
      </c>
      <c r="H373" s="18"/>
      <c r="I373" s="5"/>
      <c r="J373" s="21" t="str">
        <f t="shared" si="11"/>
        <v/>
      </c>
      <c r="K373" s="17" t="str">
        <f>IF(I373="","",MATCH($I373,Settings!$F$5:$F$46,0))</f>
        <v/>
      </c>
      <c r="L373" s="18"/>
    </row>
    <row r="374" spans="2:12" x14ac:dyDescent="0.25">
      <c r="B374" s="16"/>
      <c r="C374" s="17" t="str">
        <f>IF(B374="","",IF(AND($B374&gt;=Settings!$C$10,$B374&lt;=Settings!$C$11),"OK","ERROR"))</f>
        <v/>
      </c>
      <c r="D374" s="18"/>
      <c r="E374" s="5"/>
      <c r="F374" s="19"/>
      <c r="G374" s="20" t="str">
        <f t="shared" si="10"/>
        <v/>
      </c>
      <c r="H374" s="18"/>
      <c r="I374" s="5"/>
      <c r="J374" s="21" t="str">
        <f t="shared" si="11"/>
        <v/>
      </c>
      <c r="K374" s="17" t="str">
        <f>IF(I374="","",MATCH($I374,Settings!$F$5:$F$46,0))</f>
        <v/>
      </c>
      <c r="L374" s="18"/>
    </row>
    <row r="375" spans="2:12" x14ac:dyDescent="0.25">
      <c r="B375" s="16"/>
      <c r="C375" s="17" t="str">
        <f>IF(B375="","",IF(AND($B375&gt;=Settings!$C$10,$B375&lt;=Settings!$C$11),"OK","ERROR"))</f>
        <v/>
      </c>
      <c r="D375" s="18"/>
      <c r="E375" s="5"/>
      <c r="F375" s="19"/>
      <c r="G375" s="20" t="str">
        <f t="shared" si="10"/>
        <v/>
      </c>
      <c r="H375" s="18"/>
      <c r="I375" s="5"/>
      <c r="J375" s="21" t="str">
        <f t="shared" si="11"/>
        <v/>
      </c>
      <c r="K375" s="17" t="str">
        <f>IF(I375="","",MATCH($I375,Settings!$F$5:$F$46,0))</f>
        <v/>
      </c>
      <c r="L375" s="18"/>
    </row>
    <row r="376" spans="2:12" x14ac:dyDescent="0.25">
      <c r="B376" s="16"/>
      <c r="C376" s="17" t="str">
        <f>IF(B376="","",IF(AND($B376&gt;=Settings!$C$10,$B376&lt;=Settings!$C$11),"OK","ERROR"))</f>
        <v/>
      </c>
      <c r="D376" s="18"/>
      <c r="E376" s="5"/>
      <c r="F376" s="19"/>
      <c r="G376" s="20" t="str">
        <f t="shared" si="10"/>
        <v/>
      </c>
      <c r="H376" s="18"/>
      <c r="I376" s="5"/>
      <c r="J376" s="21" t="str">
        <f t="shared" si="11"/>
        <v/>
      </c>
      <c r="K376" s="17" t="str">
        <f>IF(I376="","",MATCH($I376,Settings!$F$5:$F$46,0))</f>
        <v/>
      </c>
      <c r="L376" s="18"/>
    </row>
    <row r="377" spans="2:12" x14ac:dyDescent="0.25">
      <c r="B377" s="16"/>
      <c r="C377" s="17" t="str">
        <f>IF(B377="","",IF(AND($B377&gt;=Settings!$C$10,$B377&lt;=Settings!$C$11),"OK","ERROR"))</f>
        <v/>
      </c>
      <c r="D377" s="18"/>
      <c r="E377" s="5"/>
      <c r="F377" s="19"/>
      <c r="G377" s="20" t="str">
        <f t="shared" si="10"/>
        <v/>
      </c>
      <c r="H377" s="18"/>
      <c r="I377" s="5"/>
      <c r="J377" s="21" t="str">
        <f t="shared" si="11"/>
        <v/>
      </c>
      <c r="K377" s="17" t="str">
        <f>IF(I377="","",MATCH($I377,Settings!$F$5:$F$46,0))</f>
        <v/>
      </c>
      <c r="L377" s="18"/>
    </row>
    <row r="378" spans="2:12" x14ac:dyDescent="0.25">
      <c r="B378" s="16"/>
      <c r="C378" s="17" t="str">
        <f>IF(B378="","",IF(AND($B378&gt;=Settings!$C$10,$B378&lt;=Settings!$C$11),"OK","ERROR"))</f>
        <v/>
      </c>
      <c r="D378" s="18"/>
      <c r="E378" s="5"/>
      <c r="F378" s="19"/>
      <c r="G378" s="20" t="str">
        <f t="shared" si="10"/>
        <v/>
      </c>
      <c r="H378" s="18"/>
      <c r="I378" s="5"/>
      <c r="J378" s="21" t="str">
        <f t="shared" si="11"/>
        <v/>
      </c>
      <c r="K378" s="17" t="str">
        <f>IF(I378="","",MATCH($I378,Settings!$F$5:$F$46,0))</f>
        <v/>
      </c>
      <c r="L378" s="18"/>
    </row>
    <row r="379" spans="2:12" x14ac:dyDescent="0.25">
      <c r="B379" s="16"/>
      <c r="C379" s="17" t="str">
        <f>IF(B379="","",IF(AND($B379&gt;=Settings!$C$10,$B379&lt;=Settings!$C$11),"OK","ERROR"))</f>
        <v/>
      </c>
      <c r="D379" s="18"/>
      <c r="E379" s="5"/>
      <c r="F379" s="19"/>
      <c r="G379" s="20" t="str">
        <f t="shared" si="10"/>
        <v/>
      </c>
      <c r="H379" s="18"/>
      <c r="I379" s="5"/>
      <c r="J379" s="21" t="str">
        <f t="shared" si="11"/>
        <v/>
      </c>
      <c r="K379" s="17" t="str">
        <f>IF(I379="","",MATCH($I379,Settings!$F$5:$F$46,0))</f>
        <v/>
      </c>
      <c r="L379" s="18"/>
    </row>
    <row r="380" spans="2:12" x14ac:dyDescent="0.25">
      <c r="B380" s="16"/>
      <c r="C380" s="17" t="str">
        <f>IF(B380="","",IF(AND($B380&gt;=Settings!$C$10,$B380&lt;=Settings!$C$11),"OK","ERROR"))</f>
        <v/>
      </c>
      <c r="D380" s="18"/>
      <c r="E380" s="5"/>
      <c r="F380" s="19"/>
      <c r="G380" s="20" t="str">
        <f t="shared" si="10"/>
        <v/>
      </c>
      <c r="H380" s="18"/>
      <c r="I380" s="5"/>
      <c r="J380" s="21" t="str">
        <f t="shared" si="11"/>
        <v/>
      </c>
      <c r="K380" s="17" t="str">
        <f>IF(I380="","",MATCH($I380,Settings!$F$5:$F$46,0))</f>
        <v/>
      </c>
      <c r="L380" s="18"/>
    </row>
    <row r="381" spans="2:12" x14ac:dyDescent="0.25">
      <c r="B381" s="16"/>
      <c r="C381" s="17" t="str">
        <f>IF(B381="","",IF(AND($B381&gt;=Settings!$C$10,$B381&lt;=Settings!$C$11),"OK","ERROR"))</f>
        <v/>
      </c>
      <c r="D381" s="18"/>
      <c r="E381" s="5"/>
      <c r="F381" s="19"/>
      <c r="G381" s="20" t="str">
        <f t="shared" si="10"/>
        <v/>
      </c>
      <c r="H381" s="18"/>
      <c r="I381" s="5"/>
      <c r="J381" s="21" t="str">
        <f t="shared" si="11"/>
        <v/>
      </c>
      <c r="K381" s="17" t="str">
        <f>IF(I381="","",MATCH($I381,Settings!$F$5:$F$46,0))</f>
        <v/>
      </c>
      <c r="L381" s="18"/>
    </row>
    <row r="382" spans="2:12" x14ac:dyDescent="0.25">
      <c r="B382" s="16"/>
      <c r="C382" s="17" t="str">
        <f>IF(B382="","",IF(AND($B382&gt;=Settings!$C$10,$B382&lt;=Settings!$C$11),"OK","ERROR"))</f>
        <v/>
      </c>
      <c r="D382" s="18"/>
      <c r="E382" s="5"/>
      <c r="F382" s="19"/>
      <c r="G382" s="20" t="str">
        <f t="shared" si="10"/>
        <v/>
      </c>
      <c r="H382" s="18"/>
      <c r="I382" s="5"/>
      <c r="J382" s="21" t="str">
        <f t="shared" si="11"/>
        <v/>
      </c>
      <c r="K382" s="17" t="str">
        <f>IF(I382="","",MATCH($I382,Settings!$F$5:$F$46,0))</f>
        <v/>
      </c>
      <c r="L382" s="18"/>
    </row>
    <row r="383" spans="2:12" x14ac:dyDescent="0.25">
      <c r="B383" s="16"/>
      <c r="C383" s="17" t="str">
        <f>IF(B383="","",IF(AND($B383&gt;=Settings!$C$10,$B383&lt;=Settings!$C$11),"OK","ERROR"))</f>
        <v/>
      </c>
      <c r="D383" s="18"/>
      <c r="E383" s="5"/>
      <c r="F383" s="19"/>
      <c r="G383" s="20" t="str">
        <f t="shared" si="10"/>
        <v/>
      </c>
      <c r="H383" s="18"/>
      <c r="I383" s="5"/>
      <c r="J383" s="21" t="str">
        <f t="shared" si="11"/>
        <v/>
      </c>
      <c r="K383" s="17" t="str">
        <f>IF(I383="","",MATCH($I383,Settings!$F$5:$F$46,0))</f>
        <v/>
      </c>
      <c r="L383" s="18"/>
    </row>
    <row r="384" spans="2:12" x14ac:dyDescent="0.25">
      <c r="B384" s="16"/>
      <c r="C384" s="17" t="str">
        <f>IF(B384="","",IF(AND($B384&gt;=Settings!$C$10,$B384&lt;=Settings!$C$11),"OK","ERROR"))</f>
        <v/>
      </c>
      <c r="D384" s="18"/>
      <c r="E384" s="5"/>
      <c r="F384" s="19"/>
      <c r="G384" s="20" t="str">
        <f t="shared" si="10"/>
        <v/>
      </c>
      <c r="H384" s="18"/>
      <c r="I384" s="5"/>
      <c r="J384" s="21" t="str">
        <f t="shared" si="11"/>
        <v/>
      </c>
      <c r="K384" s="17" t="str">
        <f>IF(I384="","",MATCH($I384,Settings!$F$5:$F$46,0))</f>
        <v/>
      </c>
      <c r="L384" s="18"/>
    </row>
    <row r="385" spans="2:12" x14ac:dyDescent="0.25">
      <c r="B385" s="16"/>
      <c r="C385" s="17" t="str">
        <f>IF(B385="","",IF(AND($B385&gt;=Settings!$C$10,$B385&lt;=Settings!$C$11),"OK","ERROR"))</f>
        <v/>
      </c>
      <c r="D385" s="18"/>
      <c r="E385" s="5"/>
      <c r="F385" s="19"/>
      <c r="G385" s="20" t="str">
        <f t="shared" si="10"/>
        <v/>
      </c>
      <c r="H385" s="18"/>
      <c r="I385" s="5"/>
      <c r="J385" s="21" t="str">
        <f t="shared" si="11"/>
        <v/>
      </c>
      <c r="K385" s="17" t="str">
        <f>IF(I385="","",MATCH($I385,Settings!$F$5:$F$46,0))</f>
        <v/>
      </c>
      <c r="L385" s="18"/>
    </row>
    <row r="386" spans="2:12" x14ac:dyDescent="0.25">
      <c r="B386" s="16"/>
      <c r="C386" s="17" t="str">
        <f>IF(B386="","",IF(AND($B386&gt;=Settings!$C$10,$B386&lt;=Settings!$C$11),"OK","ERROR"))</f>
        <v/>
      </c>
      <c r="D386" s="18"/>
      <c r="E386" s="5"/>
      <c r="F386" s="19"/>
      <c r="G386" s="20" t="str">
        <f t="shared" si="10"/>
        <v/>
      </c>
      <c r="H386" s="18"/>
      <c r="I386" s="5"/>
      <c r="J386" s="21" t="str">
        <f t="shared" si="11"/>
        <v/>
      </c>
      <c r="K386" s="17" t="str">
        <f>IF(I386="","",MATCH($I386,Settings!$F$5:$F$46,0))</f>
        <v/>
      </c>
      <c r="L386" s="18"/>
    </row>
    <row r="387" spans="2:12" x14ac:dyDescent="0.25">
      <c r="B387" s="16"/>
      <c r="C387" s="17" t="str">
        <f>IF(B387="","",IF(AND($B387&gt;=Settings!$C$10,$B387&lt;=Settings!$C$11),"OK","ERROR"))</f>
        <v/>
      </c>
      <c r="D387" s="18"/>
      <c r="E387" s="5"/>
      <c r="F387" s="19"/>
      <c r="G387" s="20" t="str">
        <f t="shared" si="10"/>
        <v/>
      </c>
      <c r="H387" s="18"/>
      <c r="I387" s="5"/>
      <c r="J387" s="21" t="str">
        <f t="shared" si="11"/>
        <v/>
      </c>
      <c r="K387" s="17" t="str">
        <f>IF(I387="","",MATCH($I387,Settings!$F$5:$F$46,0))</f>
        <v/>
      </c>
      <c r="L387" s="18"/>
    </row>
    <row r="388" spans="2:12" x14ac:dyDescent="0.25">
      <c r="B388" s="16"/>
      <c r="C388" s="17" t="str">
        <f>IF(B388="","",IF(AND($B388&gt;=Settings!$C$10,$B388&lt;=Settings!$C$11),"OK","ERROR"))</f>
        <v/>
      </c>
      <c r="D388" s="18"/>
      <c r="E388" s="5"/>
      <c r="F388" s="19"/>
      <c r="G388" s="20" t="str">
        <f t="shared" si="10"/>
        <v/>
      </c>
      <c r="H388" s="18"/>
      <c r="I388" s="5"/>
      <c r="J388" s="21" t="str">
        <f t="shared" si="11"/>
        <v/>
      </c>
      <c r="K388" s="17" t="str">
        <f>IF(I388="","",MATCH($I388,Settings!$F$5:$F$46,0))</f>
        <v/>
      </c>
      <c r="L388" s="18"/>
    </row>
    <row r="389" spans="2:12" x14ac:dyDescent="0.25">
      <c r="B389" s="16"/>
      <c r="C389" s="17" t="str">
        <f>IF(B389="","",IF(AND($B389&gt;=Settings!$C$10,$B389&lt;=Settings!$C$11),"OK","ERROR"))</f>
        <v/>
      </c>
      <c r="D389" s="18"/>
      <c r="E389" s="5"/>
      <c r="F389" s="19"/>
      <c r="G389" s="20" t="str">
        <f t="shared" si="10"/>
        <v/>
      </c>
      <c r="H389" s="18"/>
      <c r="I389" s="5"/>
      <c r="J389" s="21" t="str">
        <f t="shared" si="11"/>
        <v/>
      </c>
      <c r="K389" s="17" t="str">
        <f>IF(I389="","",MATCH($I389,Settings!$F$5:$F$46,0))</f>
        <v/>
      </c>
      <c r="L389" s="18"/>
    </row>
    <row r="390" spans="2:12" x14ac:dyDescent="0.25">
      <c r="B390" s="16"/>
      <c r="C390" s="17" t="str">
        <f>IF(B390="","",IF(AND($B390&gt;=Settings!$C$10,$B390&lt;=Settings!$C$11),"OK","ERROR"))</f>
        <v/>
      </c>
      <c r="D390" s="18"/>
      <c r="E390" s="5"/>
      <c r="F390" s="19"/>
      <c r="G390" s="20" t="str">
        <f t="shared" ref="G390:G453" si="12">IF(F390="","",IF(I390&lt;&gt;"","OK","ERROR"))</f>
        <v/>
      </c>
      <c r="H390" s="18"/>
      <c r="I390" s="5"/>
      <c r="J390" s="21" t="str">
        <f t="shared" si="11"/>
        <v/>
      </c>
      <c r="K390" s="17" t="str">
        <f>IF(I390="","",MATCH($I390,Settings!$F$5:$F$46,0))</f>
        <v/>
      </c>
      <c r="L390" s="18"/>
    </row>
    <row r="391" spans="2:12" x14ac:dyDescent="0.25">
      <c r="B391" s="16"/>
      <c r="C391" s="17" t="str">
        <f>IF(B391="","",IF(AND($B391&gt;=Settings!$C$10,$B391&lt;=Settings!$C$11),"OK","ERROR"))</f>
        <v/>
      </c>
      <c r="D391" s="18"/>
      <c r="E391" s="5"/>
      <c r="F391" s="19"/>
      <c r="G391" s="20" t="str">
        <f t="shared" si="12"/>
        <v/>
      </c>
      <c r="H391" s="18"/>
      <c r="I391" s="5"/>
      <c r="J391" s="21" t="str">
        <f t="shared" ref="J391:J454" si="13">IF(I391="","",IF(ISERROR($K391)=TRUE,"ERROR","OK"))</f>
        <v/>
      </c>
      <c r="K391" s="17" t="str">
        <f>IF(I391="","",MATCH($I391,Settings!$F$5:$F$46,0))</f>
        <v/>
      </c>
      <c r="L391" s="18"/>
    </row>
    <row r="392" spans="2:12" x14ac:dyDescent="0.25">
      <c r="B392" s="16"/>
      <c r="C392" s="17" t="str">
        <f>IF(B392="","",IF(AND($B392&gt;=Settings!$C$10,$B392&lt;=Settings!$C$11),"OK","ERROR"))</f>
        <v/>
      </c>
      <c r="D392" s="18"/>
      <c r="E392" s="5"/>
      <c r="F392" s="19"/>
      <c r="G392" s="20" t="str">
        <f t="shared" si="12"/>
        <v/>
      </c>
      <c r="H392" s="18"/>
      <c r="I392" s="5"/>
      <c r="J392" s="21" t="str">
        <f t="shared" si="13"/>
        <v/>
      </c>
      <c r="K392" s="17" t="str">
        <f>IF(I392="","",MATCH($I392,Settings!$F$5:$F$46,0))</f>
        <v/>
      </c>
      <c r="L392" s="18"/>
    </row>
    <row r="393" spans="2:12" x14ac:dyDescent="0.25">
      <c r="B393" s="16"/>
      <c r="C393" s="17" t="str">
        <f>IF(B393="","",IF(AND($B393&gt;=Settings!$C$10,$B393&lt;=Settings!$C$11),"OK","ERROR"))</f>
        <v/>
      </c>
      <c r="D393" s="18"/>
      <c r="E393" s="5"/>
      <c r="F393" s="19"/>
      <c r="G393" s="20" t="str">
        <f t="shared" si="12"/>
        <v/>
      </c>
      <c r="H393" s="18"/>
      <c r="I393" s="5"/>
      <c r="J393" s="21" t="str">
        <f t="shared" si="13"/>
        <v/>
      </c>
      <c r="K393" s="17" t="str">
        <f>IF(I393="","",MATCH($I393,Settings!$F$5:$F$46,0))</f>
        <v/>
      </c>
      <c r="L393" s="18"/>
    </row>
    <row r="394" spans="2:12" x14ac:dyDescent="0.25">
      <c r="B394" s="16"/>
      <c r="C394" s="17" t="str">
        <f>IF(B394="","",IF(AND($B394&gt;=Settings!$C$10,$B394&lt;=Settings!$C$11),"OK","ERROR"))</f>
        <v/>
      </c>
      <c r="D394" s="18"/>
      <c r="E394" s="5"/>
      <c r="F394" s="19"/>
      <c r="G394" s="20" t="str">
        <f t="shared" si="12"/>
        <v/>
      </c>
      <c r="H394" s="18"/>
      <c r="I394" s="5"/>
      <c r="J394" s="21" t="str">
        <f t="shared" si="13"/>
        <v/>
      </c>
      <c r="K394" s="17" t="str">
        <f>IF(I394="","",MATCH($I394,Settings!$F$5:$F$46,0))</f>
        <v/>
      </c>
      <c r="L394" s="18"/>
    </row>
    <row r="395" spans="2:12" x14ac:dyDescent="0.25">
      <c r="B395" s="16"/>
      <c r="C395" s="17" t="str">
        <f>IF(B395="","",IF(AND($B395&gt;=Settings!$C$10,$B395&lt;=Settings!$C$11),"OK","ERROR"))</f>
        <v/>
      </c>
      <c r="D395" s="18"/>
      <c r="E395" s="5"/>
      <c r="F395" s="19"/>
      <c r="G395" s="20" t="str">
        <f t="shared" si="12"/>
        <v/>
      </c>
      <c r="H395" s="18"/>
      <c r="I395" s="5"/>
      <c r="J395" s="21" t="str">
        <f t="shared" si="13"/>
        <v/>
      </c>
      <c r="K395" s="17" t="str">
        <f>IF(I395="","",MATCH($I395,Settings!$F$5:$F$46,0))</f>
        <v/>
      </c>
      <c r="L395" s="18"/>
    </row>
    <row r="396" spans="2:12" x14ac:dyDescent="0.25">
      <c r="B396" s="16"/>
      <c r="C396" s="17" t="str">
        <f>IF(B396="","",IF(AND($B396&gt;=Settings!$C$10,$B396&lt;=Settings!$C$11),"OK","ERROR"))</f>
        <v/>
      </c>
      <c r="D396" s="18"/>
      <c r="E396" s="5"/>
      <c r="F396" s="19"/>
      <c r="G396" s="20" t="str">
        <f t="shared" si="12"/>
        <v/>
      </c>
      <c r="H396" s="18"/>
      <c r="I396" s="5"/>
      <c r="J396" s="21" t="str">
        <f t="shared" si="13"/>
        <v/>
      </c>
      <c r="K396" s="17" t="str">
        <f>IF(I396="","",MATCH($I396,Settings!$F$5:$F$46,0))</f>
        <v/>
      </c>
      <c r="L396" s="18"/>
    </row>
    <row r="397" spans="2:12" x14ac:dyDescent="0.25">
      <c r="B397" s="16"/>
      <c r="C397" s="17" t="str">
        <f>IF(B397="","",IF(AND($B397&gt;=Settings!$C$10,$B397&lt;=Settings!$C$11),"OK","ERROR"))</f>
        <v/>
      </c>
      <c r="D397" s="18"/>
      <c r="E397" s="5"/>
      <c r="F397" s="19"/>
      <c r="G397" s="20" t="str">
        <f t="shared" si="12"/>
        <v/>
      </c>
      <c r="H397" s="18"/>
      <c r="I397" s="5"/>
      <c r="J397" s="21" t="str">
        <f t="shared" si="13"/>
        <v/>
      </c>
      <c r="K397" s="17" t="str">
        <f>IF(I397="","",MATCH($I397,Settings!$F$5:$F$46,0))</f>
        <v/>
      </c>
      <c r="L397" s="18"/>
    </row>
    <row r="398" spans="2:12" x14ac:dyDescent="0.25">
      <c r="B398" s="16"/>
      <c r="C398" s="17" t="str">
        <f>IF(B398="","",IF(AND($B398&gt;=Settings!$C$10,$B398&lt;=Settings!$C$11),"OK","ERROR"))</f>
        <v/>
      </c>
      <c r="D398" s="18"/>
      <c r="E398" s="5"/>
      <c r="F398" s="19"/>
      <c r="G398" s="20" t="str">
        <f t="shared" si="12"/>
        <v/>
      </c>
      <c r="H398" s="18"/>
      <c r="I398" s="5"/>
      <c r="J398" s="21" t="str">
        <f t="shared" si="13"/>
        <v/>
      </c>
      <c r="K398" s="17" t="str">
        <f>IF(I398="","",MATCH($I398,Settings!$F$5:$F$46,0))</f>
        <v/>
      </c>
      <c r="L398" s="18"/>
    </row>
    <row r="399" spans="2:12" x14ac:dyDescent="0.25">
      <c r="B399" s="16"/>
      <c r="C399" s="17" t="str">
        <f>IF(B399="","",IF(AND($B399&gt;=Settings!$C$10,$B399&lt;=Settings!$C$11),"OK","ERROR"))</f>
        <v/>
      </c>
      <c r="D399" s="18"/>
      <c r="E399" s="5"/>
      <c r="F399" s="19"/>
      <c r="G399" s="20" t="str">
        <f t="shared" si="12"/>
        <v/>
      </c>
      <c r="H399" s="18"/>
      <c r="I399" s="5"/>
      <c r="J399" s="21" t="str">
        <f t="shared" si="13"/>
        <v/>
      </c>
      <c r="K399" s="17" t="str">
        <f>IF(I399="","",MATCH($I399,Settings!$F$5:$F$46,0))</f>
        <v/>
      </c>
      <c r="L399" s="18"/>
    </row>
    <row r="400" spans="2:12" x14ac:dyDescent="0.25">
      <c r="B400" s="16"/>
      <c r="C400" s="17" t="str">
        <f>IF(B400="","",IF(AND($B400&gt;=Settings!$C$10,$B400&lt;=Settings!$C$11),"OK","ERROR"))</f>
        <v/>
      </c>
      <c r="D400" s="18"/>
      <c r="E400" s="5"/>
      <c r="F400" s="19"/>
      <c r="G400" s="20" t="str">
        <f t="shared" si="12"/>
        <v/>
      </c>
      <c r="H400" s="18"/>
      <c r="I400" s="5"/>
      <c r="J400" s="21" t="str">
        <f t="shared" si="13"/>
        <v/>
      </c>
      <c r="K400" s="17" t="str">
        <f>IF(I400="","",MATCH($I400,Settings!$F$5:$F$46,0))</f>
        <v/>
      </c>
      <c r="L400" s="18"/>
    </row>
    <row r="401" spans="2:12" x14ac:dyDescent="0.25">
      <c r="B401" s="16"/>
      <c r="C401" s="17" t="str">
        <f>IF(B401="","",IF(AND($B401&gt;=Settings!$C$10,$B401&lt;=Settings!$C$11),"OK","ERROR"))</f>
        <v/>
      </c>
      <c r="D401" s="18"/>
      <c r="E401" s="5"/>
      <c r="F401" s="19"/>
      <c r="G401" s="20" t="str">
        <f t="shared" si="12"/>
        <v/>
      </c>
      <c r="H401" s="18"/>
      <c r="I401" s="5"/>
      <c r="J401" s="21" t="str">
        <f t="shared" si="13"/>
        <v/>
      </c>
      <c r="K401" s="17" t="str">
        <f>IF(I401="","",MATCH($I401,Settings!$F$5:$F$46,0))</f>
        <v/>
      </c>
      <c r="L401" s="18"/>
    </row>
    <row r="402" spans="2:12" x14ac:dyDescent="0.25">
      <c r="B402" s="16"/>
      <c r="C402" s="17" t="str">
        <f>IF(B402="","",IF(AND($B402&gt;=Settings!$C$10,$B402&lt;=Settings!$C$11),"OK","ERROR"))</f>
        <v/>
      </c>
      <c r="D402" s="18"/>
      <c r="E402" s="5"/>
      <c r="F402" s="19"/>
      <c r="G402" s="20" t="str">
        <f t="shared" si="12"/>
        <v/>
      </c>
      <c r="H402" s="18"/>
      <c r="I402" s="5"/>
      <c r="J402" s="21" t="str">
        <f t="shared" si="13"/>
        <v/>
      </c>
      <c r="K402" s="17" t="str">
        <f>IF(I402="","",MATCH($I402,Settings!$F$5:$F$46,0))</f>
        <v/>
      </c>
      <c r="L402" s="18"/>
    </row>
    <row r="403" spans="2:12" x14ac:dyDescent="0.25">
      <c r="B403" s="16"/>
      <c r="C403" s="17" t="str">
        <f>IF(B403="","",IF(AND($B403&gt;=Settings!$C$10,$B403&lt;=Settings!$C$11),"OK","ERROR"))</f>
        <v/>
      </c>
      <c r="D403" s="18"/>
      <c r="E403" s="5"/>
      <c r="F403" s="19"/>
      <c r="G403" s="20" t="str">
        <f t="shared" si="12"/>
        <v/>
      </c>
      <c r="H403" s="18"/>
      <c r="I403" s="5"/>
      <c r="J403" s="21" t="str">
        <f t="shared" si="13"/>
        <v/>
      </c>
      <c r="K403" s="17" t="str">
        <f>IF(I403="","",MATCH($I403,Settings!$F$5:$F$46,0))</f>
        <v/>
      </c>
      <c r="L403" s="18"/>
    </row>
    <row r="404" spans="2:12" x14ac:dyDescent="0.25">
      <c r="B404" s="16"/>
      <c r="C404" s="17" t="str">
        <f>IF(B404="","",IF(AND($B404&gt;=Settings!$C$10,$B404&lt;=Settings!$C$11),"OK","ERROR"))</f>
        <v/>
      </c>
      <c r="D404" s="18"/>
      <c r="E404" s="5"/>
      <c r="F404" s="19"/>
      <c r="G404" s="20" t="str">
        <f t="shared" si="12"/>
        <v/>
      </c>
      <c r="H404" s="18"/>
      <c r="I404" s="5"/>
      <c r="J404" s="21" t="str">
        <f t="shared" si="13"/>
        <v/>
      </c>
      <c r="K404" s="17" t="str">
        <f>IF(I404="","",MATCH($I404,Settings!$F$5:$F$46,0))</f>
        <v/>
      </c>
      <c r="L404" s="18"/>
    </row>
    <row r="405" spans="2:12" x14ac:dyDescent="0.25">
      <c r="B405" s="16"/>
      <c r="C405" s="17" t="str">
        <f>IF(B405="","",IF(AND($B405&gt;=Settings!$C$10,$B405&lt;=Settings!$C$11),"OK","ERROR"))</f>
        <v/>
      </c>
      <c r="D405" s="18"/>
      <c r="E405" s="5"/>
      <c r="F405" s="19"/>
      <c r="G405" s="20" t="str">
        <f t="shared" si="12"/>
        <v/>
      </c>
      <c r="H405" s="18"/>
      <c r="I405" s="5"/>
      <c r="J405" s="21" t="str">
        <f t="shared" si="13"/>
        <v/>
      </c>
      <c r="K405" s="17" t="str">
        <f>IF(I405="","",MATCH($I405,Settings!$F$5:$F$46,0))</f>
        <v/>
      </c>
      <c r="L405" s="18"/>
    </row>
    <row r="406" spans="2:12" x14ac:dyDescent="0.25">
      <c r="B406" s="16"/>
      <c r="C406" s="17" t="str">
        <f>IF(B406="","",IF(AND($B406&gt;=Settings!$C$10,$B406&lt;=Settings!$C$11),"OK","ERROR"))</f>
        <v/>
      </c>
      <c r="D406" s="18"/>
      <c r="E406" s="5"/>
      <c r="F406" s="19"/>
      <c r="G406" s="20" t="str">
        <f t="shared" si="12"/>
        <v/>
      </c>
      <c r="H406" s="18"/>
      <c r="I406" s="5"/>
      <c r="J406" s="21" t="str">
        <f t="shared" si="13"/>
        <v/>
      </c>
      <c r="K406" s="17" t="str">
        <f>IF(I406="","",MATCH($I406,Settings!$F$5:$F$46,0))</f>
        <v/>
      </c>
      <c r="L406" s="18"/>
    </row>
    <row r="407" spans="2:12" x14ac:dyDescent="0.25">
      <c r="B407" s="16"/>
      <c r="C407" s="17" t="str">
        <f>IF(B407="","",IF(AND($B407&gt;=Settings!$C$10,$B407&lt;=Settings!$C$11),"OK","ERROR"))</f>
        <v/>
      </c>
      <c r="D407" s="18"/>
      <c r="E407" s="5"/>
      <c r="F407" s="19"/>
      <c r="G407" s="20" t="str">
        <f t="shared" si="12"/>
        <v/>
      </c>
      <c r="H407" s="18"/>
      <c r="I407" s="5"/>
      <c r="J407" s="21" t="str">
        <f t="shared" si="13"/>
        <v/>
      </c>
      <c r="K407" s="17" t="str">
        <f>IF(I407="","",MATCH($I407,Settings!$F$5:$F$46,0))</f>
        <v/>
      </c>
      <c r="L407" s="18"/>
    </row>
    <row r="408" spans="2:12" x14ac:dyDescent="0.25">
      <c r="B408" s="16"/>
      <c r="C408" s="17" t="str">
        <f>IF(B408="","",IF(AND($B408&gt;=Settings!$C$10,$B408&lt;=Settings!$C$11),"OK","ERROR"))</f>
        <v/>
      </c>
      <c r="D408" s="18"/>
      <c r="E408" s="5"/>
      <c r="F408" s="19"/>
      <c r="G408" s="20" t="str">
        <f t="shared" si="12"/>
        <v/>
      </c>
      <c r="H408" s="18"/>
      <c r="I408" s="5"/>
      <c r="J408" s="21" t="str">
        <f t="shared" si="13"/>
        <v/>
      </c>
      <c r="K408" s="17" t="str">
        <f>IF(I408="","",MATCH($I408,Settings!$F$5:$F$46,0))</f>
        <v/>
      </c>
      <c r="L408" s="18"/>
    </row>
    <row r="409" spans="2:12" x14ac:dyDescent="0.25">
      <c r="B409" s="16"/>
      <c r="C409" s="17" t="str">
        <f>IF(B409="","",IF(AND($B409&gt;=Settings!$C$10,$B409&lt;=Settings!$C$11),"OK","ERROR"))</f>
        <v/>
      </c>
      <c r="D409" s="18"/>
      <c r="E409" s="5"/>
      <c r="F409" s="19"/>
      <c r="G409" s="20" t="str">
        <f t="shared" si="12"/>
        <v/>
      </c>
      <c r="H409" s="18"/>
      <c r="I409" s="5"/>
      <c r="J409" s="21" t="str">
        <f t="shared" si="13"/>
        <v/>
      </c>
      <c r="K409" s="17" t="str">
        <f>IF(I409="","",MATCH($I409,Settings!$F$5:$F$46,0))</f>
        <v/>
      </c>
      <c r="L409" s="18"/>
    </row>
    <row r="410" spans="2:12" x14ac:dyDescent="0.25">
      <c r="B410" s="16"/>
      <c r="C410" s="17" t="str">
        <f>IF(B410="","",IF(AND($B410&gt;=Settings!$C$10,$B410&lt;=Settings!$C$11),"OK","ERROR"))</f>
        <v/>
      </c>
      <c r="D410" s="18"/>
      <c r="E410" s="5"/>
      <c r="F410" s="19"/>
      <c r="G410" s="20" t="str">
        <f t="shared" si="12"/>
        <v/>
      </c>
      <c r="H410" s="18"/>
      <c r="I410" s="5"/>
      <c r="J410" s="21" t="str">
        <f t="shared" si="13"/>
        <v/>
      </c>
      <c r="K410" s="17" t="str">
        <f>IF(I410="","",MATCH($I410,Settings!$F$5:$F$46,0))</f>
        <v/>
      </c>
      <c r="L410" s="18"/>
    </row>
    <row r="411" spans="2:12" x14ac:dyDescent="0.25">
      <c r="B411" s="16"/>
      <c r="C411" s="17" t="str">
        <f>IF(B411="","",IF(AND($B411&gt;=Settings!$C$10,$B411&lt;=Settings!$C$11),"OK","ERROR"))</f>
        <v/>
      </c>
      <c r="D411" s="18"/>
      <c r="E411" s="5"/>
      <c r="F411" s="19"/>
      <c r="G411" s="20" t="str">
        <f t="shared" si="12"/>
        <v/>
      </c>
      <c r="H411" s="18"/>
      <c r="I411" s="5"/>
      <c r="J411" s="21" t="str">
        <f t="shared" si="13"/>
        <v/>
      </c>
      <c r="K411" s="17" t="str">
        <f>IF(I411="","",MATCH($I411,Settings!$F$5:$F$46,0))</f>
        <v/>
      </c>
      <c r="L411" s="18"/>
    </row>
    <row r="412" spans="2:12" x14ac:dyDescent="0.25">
      <c r="B412" s="16"/>
      <c r="C412" s="17" t="str">
        <f>IF(B412="","",IF(AND($B412&gt;=Settings!$C$10,$B412&lt;=Settings!$C$11),"OK","ERROR"))</f>
        <v/>
      </c>
      <c r="D412" s="18"/>
      <c r="E412" s="5"/>
      <c r="F412" s="19"/>
      <c r="G412" s="20" t="str">
        <f t="shared" si="12"/>
        <v/>
      </c>
      <c r="H412" s="18"/>
      <c r="I412" s="5"/>
      <c r="J412" s="21" t="str">
        <f t="shared" si="13"/>
        <v/>
      </c>
      <c r="K412" s="17" t="str">
        <f>IF(I412="","",MATCH($I412,Settings!$F$5:$F$46,0))</f>
        <v/>
      </c>
      <c r="L412" s="18"/>
    </row>
    <row r="413" spans="2:12" x14ac:dyDescent="0.25">
      <c r="B413" s="16"/>
      <c r="C413" s="17" t="str">
        <f>IF(B413="","",IF(AND($B413&gt;=Settings!$C$10,$B413&lt;=Settings!$C$11),"OK","ERROR"))</f>
        <v/>
      </c>
      <c r="D413" s="18"/>
      <c r="E413" s="5"/>
      <c r="F413" s="19"/>
      <c r="G413" s="20" t="str">
        <f t="shared" si="12"/>
        <v/>
      </c>
      <c r="H413" s="18"/>
      <c r="I413" s="5"/>
      <c r="J413" s="21" t="str">
        <f t="shared" si="13"/>
        <v/>
      </c>
      <c r="K413" s="17" t="str">
        <f>IF(I413="","",MATCH($I413,Settings!$F$5:$F$46,0))</f>
        <v/>
      </c>
      <c r="L413" s="18"/>
    </row>
    <row r="414" spans="2:12" x14ac:dyDescent="0.25">
      <c r="B414" s="16"/>
      <c r="C414" s="17" t="str">
        <f>IF(B414="","",IF(AND($B414&gt;=Settings!$C$10,$B414&lt;=Settings!$C$11),"OK","ERROR"))</f>
        <v/>
      </c>
      <c r="D414" s="18"/>
      <c r="E414" s="5"/>
      <c r="F414" s="19"/>
      <c r="G414" s="20" t="str">
        <f t="shared" si="12"/>
        <v/>
      </c>
      <c r="H414" s="18"/>
      <c r="I414" s="5"/>
      <c r="J414" s="21" t="str">
        <f t="shared" si="13"/>
        <v/>
      </c>
      <c r="K414" s="17" t="str">
        <f>IF(I414="","",MATCH($I414,Settings!$F$5:$F$46,0))</f>
        <v/>
      </c>
      <c r="L414" s="18"/>
    </row>
    <row r="415" spans="2:12" x14ac:dyDescent="0.25">
      <c r="B415" s="16"/>
      <c r="C415" s="17" t="str">
        <f>IF(B415="","",IF(AND($B415&gt;=Settings!$C$10,$B415&lt;=Settings!$C$11),"OK","ERROR"))</f>
        <v/>
      </c>
      <c r="D415" s="18"/>
      <c r="E415" s="5"/>
      <c r="F415" s="19"/>
      <c r="G415" s="20" t="str">
        <f t="shared" si="12"/>
        <v/>
      </c>
      <c r="H415" s="18"/>
      <c r="I415" s="5"/>
      <c r="J415" s="21" t="str">
        <f t="shared" si="13"/>
        <v/>
      </c>
      <c r="K415" s="17" t="str">
        <f>IF(I415="","",MATCH($I415,Settings!$F$5:$F$46,0))</f>
        <v/>
      </c>
      <c r="L415" s="18"/>
    </row>
    <row r="416" spans="2:12" x14ac:dyDescent="0.25">
      <c r="B416" s="16"/>
      <c r="C416" s="17" t="str">
        <f>IF(B416="","",IF(AND($B416&gt;=Settings!$C$10,$B416&lt;=Settings!$C$11),"OK","ERROR"))</f>
        <v/>
      </c>
      <c r="D416" s="18"/>
      <c r="E416" s="5"/>
      <c r="F416" s="19"/>
      <c r="G416" s="20" t="str">
        <f t="shared" si="12"/>
        <v/>
      </c>
      <c r="H416" s="18"/>
      <c r="I416" s="5"/>
      <c r="J416" s="21" t="str">
        <f t="shared" si="13"/>
        <v/>
      </c>
      <c r="K416" s="17" t="str">
        <f>IF(I416="","",MATCH($I416,Settings!$F$5:$F$46,0))</f>
        <v/>
      </c>
      <c r="L416" s="18"/>
    </row>
    <row r="417" spans="2:12" x14ac:dyDescent="0.25">
      <c r="B417" s="16"/>
      <c r="C417" s="17" t="str">
        <f>IF(B417="","",IF(AND($B417&gt;=Settings!$C$10,$B417&lt;=Settings!$C$11),"OK","ERROR"))</f>
        <v/>
      </c>
      <c r="D417" s="18"/>
      <c r="E417" s="5"/>
      <c r="F417" s="19"/>
      <c r="G417" s="20" t="str">
        <f t="shared" si="12"/>
        <v/>
      </c>
      <c r="H417" s="18"/>
      <c r="I417" s="5"/>
      <c r="J417" s="21" t="str">
        <f t="shared" si="13"/>
        <v/>
      </c>
      <c r="K417" s="17" t="str">
        <f>IF(I417="","",MATCH($I417,Settings!$F$5:$F$46,0))</f>
        <v/>
      </c>
      <c r="L417" s="18"/>
    </row>
    <row r="418" spans="2:12" x14ac:dyDescent="0.25">
      <c r="B418" s="16"/>
      <c r="C418" s="17" t="str">
        <f>IF(B418="","",IF(AND($B418&gt;=Settings!$C$10,$B418&lt;=Settings!$C$11),"OK","ERROR"))</f>
        <v/>
      </c>
      <c r="D418" s="18"/>
      <c r="E418" s="5"/>
      <c r="F418" s="19"/>
      <c r="G418" s="20" t="str">
        <f t="shared" si="12"/>
        <v/>
      </c>
      <c r="H418" s="18"/>
      <c r="I418" s="5"/>
      <c r="J418" s="21" t="str">
        <f t="shared" si="13"/>
        <v/>
      </c>
      <c r="K418" s="17" t="str">
        <f>IF(I418="","",MATCH($I418,Settings!$F$5:$F$46,0))</f>
        <v/>
      </c>
      <c r="L418" s="18"/>
    </row>
    <row r="419" spans="2:12" x14ac:dyDescent="0.25">
      <c r="B419" s="16"/>
      <c r="C419" s="17" t="str">
        <f>IF(B419="","",IF(AND($B419&gt;=Settings!$C$10,$B419&lt;=Settings!$C$11),"OK","ERROR"))</f>
        <v/>
      </c>
      <c r="D419" s="18"/>
      <c r="E419" s="5"/>
      <c r="F419" s="19"/>
      <c r="G419" s="20" t="str">
        <f t="shared" si="12"/>
        <v/>
      </c>
      <c r="H419" s="18"/>
      <c r="I419" s="5"/>
      <c r="J419" s="21" t="str">
        <f t="shared" si="13"/>
        <v/>
      </c>
      <c r="K419" s="17" t="str">
        <f>IF(I419="","",MATCH($I419,Settings!$F$5:$F$46,0))</f>
        <v/>
      </c>
      <c r="L419" s="18"/>
    </row>
    <row r="420" spans="2:12" x14ac:dyDescent="0.25">
      <c r="B420" s="16"/>
      <c r="C420" s="17" t="str">
        <f>IF(B420="","",IF(AND($B420&gt;=Settings!$C$10,$B420&lt;=Settings!$C$11),"OK","ERROR"))</f>
        <v/>
      </c>
      <c r="D420" s="18"/>
      <c r="E420" s="5"/>
      <c r="F420" s="19"/>
      <c r="G420" s="20" t="str">
        <f t="shared" si="12"/>
        <v/>
      </c>
      <c r="H420" s="18"/>
      <c r="I420" s="5"/>
      <c r="J420" s="21" t="str">
        <f t="shared" si="13"/>
        <v/>
      </c>
      <c r="K420" s="17" t="str">
        <f>IF(I420="","",MATCH($I420,Settings!$F$5:$F$46,0))</f>
        <v/>
      </c>
      <c r="L420" s="18"/>
    </row>
    <row r="421" spans="2:12" x14ac:dyDescent="0.25">
      <c r="B421" s="16"/>
      <c r="C421" s="17" t="str">
        <f>IF(B421="","",IF(AND($B421&gt;=Settings!$C$10,$B421&lt;=Settings!$C$11),"OK","ERROR"))</f>
        <v/>
      </c>
      <c r="D421" s="18"/>
      <c r="E421" s="5"/>
      <c r="F421" s="19"/>
      <c r="G421" s="20" t="str">
        <f t="shared" si="12"/>
        <v/>
      </c>
      <c r="H421" s="18"/>
      <c r="I421" s="5"/>
      <c r="J421" s="21" t="str">
        <f t="shared" si="13"/>
        <v/>
      </c>
      <c r="K421" s="17" t="str">
        <f>IF(I421="","",MATCH($I421,Settings!$F$5:$F$46,0))</f>
        <v/>
      </c>
      <c r="L421" s="18"/>
    </row>
    <row r="422" spans="2:12" x14ac:dyDescent="0.25">
      <c r="B422" s="16"/>
      <c r="C422" s="17" t="str">
        <f>IF(B422="","",IF(AND($B422&gt;=Settings!$C$10,$B422&lt;=Settings!$C$11),"OK","ERROR"))</f>
        <v/>
      </c>
      <c r="D422" s="18"/>
      <c r="E422" s="5"/>
      <c r="F422" s="19"/>
      <c r="G422" s="20" t="str">
        <f t="shared" si="12"/>
        <v/>
      </c>
      <c r="H422" s="18"/>
      <c r="I422" s="5"/>
      <c r="J422" s="21" t="str">
        <f t="shared" si="13"/>
        <v/>
      </c>
      <c r="K422" s="17" t="str">
        <f>IF(I422="","",MATCH($I422,Settings!$F$5:$F$46,0))</f>
        <v/>
      </c>
      <c r="L422" s="18"/>
    </row>
    <row r="423" spans="2:12" x14ac:dyDescent="0.25">
      <c r="B423" s="16"/>
      <c r="C423" s="17" t="str">
        <f>IF(B423="","",IF(AND($B423&gt;=Settings!$C$10,$B423&lt;=Settings!$C$11),"OK","ERROR"))</f>
        <v/>
      </c>
      <c r="D423" s="18"/>
      <c r="E423" s="5"/>
      <c r="F423" s="19"/>
      <c r="G423" s="20" t="str">
        <f t="shared" si="12"/>
        <v/>
      </c>
      <c r="H423" s="18"/>
      <c r="I423" s="5"/>
      <c r="J423" s="21" t="str">
        <f t="shared" si="13"/>
        <v/>
      </c>
      <c r="K423" s="17" t="str">
        <f>IF(I423="","",MATCH($I423,Settings!$F$5:$F$46,0))</f>
        <v/>
      </c>
      <c r="L423" s="18"/>
    </row>
    <row r="424" spans="2:12" x14ac:dyDescent="0.25">
      <c r="B424" s="16"/>
      <c r="C424" s="17" t="str">
        <f>IF(B424="","",IF(AND($B424&gt;=Settings!$C$10,$B424&lt;=Settings!$C$11),"OK","ERROR"))</f>
        <v/>
      </c>
      <c r="D424" s="18"/>
      <c r="E424" s="5"/>
      <c r="F424" s="19"/>
      <c r="G424" s="20" t="str">
        <f t="shared" si="12"/>
        <v/>
      </c>
      <c r="H424" s="18"/>
      <c r="I424" s="5"/>
      <c r="J424" s="21" t="str">
        <f t="shared" si="13"/>
        <v/>
      </c>
      <c r="K424" s="17" t="str">
        <f>IF(I424="","",MATCH($I424,Settings!$F$5:$F$46,0))</f>
        <v/>
      </c>
      <c r="L424" s="18"/>
    </row>
    <row r="425" spans="2:12" x14ac:dyDescent="0.25">
      <c r="B425" s="16"/>
      <c r="C425" s="17" t="str">
        <f>IF(B425="","",IF(AND($B425&gt;=Settings!$C$10,$B425&lt;=Settings!$C$11),"OK","ERROR"))</f>
        <v/>
      </c>
      <c r="D425" s="18"/>
      <c r="E425" s="5"/>
      <c r="F425" s="19"/>
      <c r="G425" s="20" t="str">
        <f t="shared" si="12"/>
        <v/>
      </c>
      <c r="H425" s="18"/>
      <c r="I425" s="5"/>
      <c r="J425" s="21" t="str">
        <f t="shared" si="13"/>
        <v/>
      </c>
      <c r="K425" s="17" t="str">
        <f>IF(I425="","",MATCH($I425,Settings!$F$5:$F$46,0))</f>
        <v/>
      </c>
      <c r="L425" s="18"/>
    </row>
    <row r="426" spans="2:12" x14ac:dyDescent="0.25">
      <c r="B426" s="16"/>
      <c r="C426" s="17" t="str">
        <f>IF(B426="","",IF(AND($B426&gt;=Settings!$C$10,$B426&lt;=Settings!$C$11),"OK","ERROR"))</f>
        <v/>
      </c>
      <c r="D426" s="18"/>
      <c r="E426" s="5"/>
      <c r="F426" s="19"/>
      <c r="G426" s="20" t="str">
        <f t="shared" si="12"/>
        <v/>
      </c>
      <c r="H426" s="18"/>
      <c r="I426" s="5"/>
      <c r="J426" s="21" t="str">
        <f t="shared" si="13"/>
        <v/>
      </c>
      <c r="K426" s="17" t="str">
        <f>IF(I426="","",MATCH($I426,Settings!$F$5:$F$46,0))</f>
        <v/>
      </c>
      <c r="L426" s="18"/>
    </row>
    <row r="427" spans="2:12" x14ac:dyDescent="0.25">
      <c r="B427" s="16"/>
      <c r="C427" s="17" t="str">
        <f>IF(B427="","",IF(AND($B427&gt;=Settings!$C$10,$B427&lt;=Settings!$C$11),"OK","ERROR"))</f>
        <v/>
      </c>
      <c r="D427" s="18"/>
      <c r="E427" s="5"/>
      <c r="F427" s="19"/>
      <c r="G427" s="20" t="str">
        <f t="shared" si="12"/>
        <v/>
      </c>
      <c r="H427" s="18"/>
      <c r="I427" s="5"/>
      <c r="J427" s="21" t="str">
        <f t="shared" si="13"/>
        <v/>
      </c>
      <c r="K427" s="17" t="str">
        <f>IF(I427="","",MATCH($I427,Settings!$F$5:$F$46,0))</f>
        <v/>
      </c>
      <c r="L427" s="18"/>
    </row>
    <row r="428" spans="2:12" x14ac:dyDescent="0.25">
      <c r="B428" s="16"/>
      <c r="C428" s="17" t="str">
        <f>IF(B428="","",IF(AND($B428&gt;=Settings!$C$10,$B428&lt;=Settings!$C$11),"OK","ERROR"))</f>
        <v/>
      </c>
      <c r="D428" s="18"/>
      <c r="E428" s="5"/>
      <c r="F428" s="19"/>
      <c r="G428" s="20" t="str">
        <f t="shared" si="12"/>
        <v/>
      </c>
      <c r="H428" s="18"/>
      <c r="I428" s="5"/>
      <c r="J428" s="21" t="str">
        <f t="shared" si="13"/>
        <v/>
      </c>
      <c r="K428" s="17" t="str">
        <f>IF(I428="","",MATCH($I428,Settings!$F$5:$F$46,0))</f>
        <v/>
      </c>
      <c r="L428" s="18"/>
    </row>
    <row r="429" spans="2:12" x14ac:dyDescent="0.25">
      <c r="B429" s="16"/>
      <c r="C429" s="17" t="str">
        <f>IF(B429="","",IF(AND($B429&gt;=Settings!$C$10,$B429&lt;=Settings!$C$11),"OK","ERROR"))</f>
        <v/>
      </c>
      <c r="D429" s="18"/>
      <c r="E429" s="5"/>
      <c r="F429" s="19"/>
      <c r="G429" s="20" t="str">
        <f t="shared" si="12"/>
        <v/>
      </c>
      <c r="H429" s="18"/>
      <c r="I429" s="5"/>
      <c r="J429" s="21" t="str">
        <f t="shared" si="13"/>
        <v/>
      </c>
      <c r="K429" s="17" t="str">
        <f>IF(I429="","",MATCH($I429,Settings!$F$5:$F$46,0))</f>
        <v/>
      </c>
      <c r="L429" s="18"/>
    </row>
    <row r="430" spans="2:12" x14ac:dyDescent="0.25">
      <c r="B430" s="16"/>
      <c r="C430" s="17" t="str">
        <f>IF(B430="","",IF(AND($B430&gt;=Settings!$C$10,$B430&lt;=Settings!$C$11),"OK","ERROR"))</f>
        <v/>
      </c>
      <c r="D430" s="18"/>
      <c r="E430" s="5"/>
      <c r="F430" s="19"/>
      <c r="G430" s="20" t="str">
        <f t="shared" si="12"/>
        <v/>
      </c>
      <c r="H430" s="18"/>
      <c r="I430" s="5"/>
      <c r="J430" s="21" t="str">
        <f t="shared" si="13"/>
        <v/>
      </c>
      <c r="K430" s="17" t="str">
        <f>IF(I430="","",MATCH($I430,Settings!$F$5:$F$46,0))</f>
        <v/>
      </c>
      <c r="L430" s="18"/>
    </row>
    <row r="431" spans="2:12" x14ac:dyDescent="0.25">
      <c r="B431" s="16"/>
      <c r="C431" s="17" t="str">
        <f>IF(B431="","",IF(AND($B431&gt;=Settings!$C$10,$B431&lt;=Settings!$C$11),"OK","ERROR"))</f>
        <v/>
      </c>
      <c r="D431" s="18"/>
      <c r="E431" s="5"/>
      <c r="F431" s="19"/>
      <c r="G431" s="20" t="str">
        <f t="shared" si="12"/>
        <v/>
      </c>
      <c r="H431" s="18"/>
      <c r="I431" s="5"/>
      <c r="J431" s="21" t="str">
        <f t="shared" si="13"/>
        <v/>
      </c>
      <c r="K431" s="17" t="str">
        <f>IF(I431="","",MATCH($I431,Settings!$F$5:$F$46,0))</f>
        <v/>
      </c>
      <c r="L431" s="18"/>
    </row>
    <row r="432" spans="2:12" x14ac:dyDescent="0.25">
      <c r="B432" s="16"/>
      <c r="C432" s="17" t="str">
        <f>IF(B432="","",IF(AND($B432&gt;=Settings!$C$10,$B432&lt;=Settings!$C$11),"OK","ERROR"))</f>
        <v/>
      </c>
      <c r="D432" s="18"/>
      <c r="E432" s="5"/>
      <c r="F432" s="19"/>
      <c r="G432" s="20" t="str">
        <f t="shared" si="12"/>
        <v/>
      </c>
      <c r="H432" s="18"/>
      <c r="I432" s="5"/>
      <c r="J432" s="21" t="str">
        <f t="shared" si="13"/>
        <v/>
      </c>
      <c r="K432" s="17" t="str">
        <f>IF(I432="","",MATCH($I432,Settings!$F$5:$F$46,0))</f>
        <v/>
      </c>
      <c r="L432" s="18"/>
    </row>
    <row r="433" spans="2:12" x14ac:dyDescent="0.25">
      <c r="B433" s="16"/>
      <c r="C433" s="17" t="str">
        <f>IF(B433="","",IF(AND($B433&gt;=Settings!$C$10,$B433&lt;=Settings!$C$11),"OK","ERROR"))</f>
        <v/>
      </c>
      <c r="D433" s="18"/>
      <c r="E433" s="5"/>
      <c r="F433" s="19"/>
      <c r="G433" s="20" t="str">
        <f t="shared" si="12"/>
        <v/>
      </c>
      <c r="H433" s="18"/>
      <c r="I433" s="5"/>
      <c r="J433" s="21" t="str">
        <f t="shared" si="13"/>
        <v/>
      </c>
      <c r="K433" s="17" t="str">
        <f>IF(I433="","",MATCH($I433,Settings!$F$5:$F$46,0))</f>
        <v/>
      </c>
      <c r="L433" s="18"/>
    </row>
    <row r="434" spans="2:12" x14ac:dyDescent="0.25">
      <c r="B434" s="16"/>
      <c r="C434" s="17" t="str">
        <f>IF(B434="","",IF(AND($B434&gt;=Settings!$C$10,$B434&lt;=Settings!$C$11),"OK","ERROR"))</f>
        <v/>
      </c>
      <c r="D434" s="18"/>
      <c r="E434" s="5"/>
      <c r="F434" s="19"/>
      <c r="G434" s="20" t="str">
        <f t="shared" si="12"/>
        <v/>
      </c>
      <c r="H434" s="18"/>
      <c r="I434" s="5"/>
      <c r="J434" s="21" t="str">
        <f t="shared" si="13"/>
        <v/>
      </c>
      <c r="K434" s="17" t="str">
        <f>IF(I434="","",MATCH($I434,Settings!$F$5:$F$46,0))</f>
        <v/>
      </c>
      <c r="L434" s="18"/>
    </row>
    <row r="435" spans="2:12" x14ac:dyDescent="0.25">
      <c r="B435" s="16"/>
      <c r="C435" s="17" t="str">
        <f>IF(B435="","",IF(AND($B435&gt;=Settings!$C$10,$B435&lt;=Settings!$C$11),"OK","ERROR"))</f>
        <v/>
      </c>
      <c r="D435" s="18"/>
      <c r="E435" s="5"/>
      <c r="F435" s="19"/>
      <c r="G435" s="20" t="str">
        <f t="shared" si="12"/>
        <v/>
      </c>
      <c r="H435" s="18"/>
      <c r="I435" s="5"/>
      <c r="J435" s="21" t="str">
        <f t="shared" si="13"/>
        <v/>
      </c>
      <c r="K435" s="17" t="str">
        <f>IF(I435="","",MATCH($I435,Settings!$F$5:$F$46,0))</f>
        <v/>
      </c>
      <c r="L435" s="18"/>
    </row>
    <row r="436" spans="2:12" x14ac:dyDescent="0.25">
      <c r="B436" s="16"/>
      <c r="C436" s="17" t="str">
        <f>IF(B436="","",IF(AND($B436&gt;=Settings!$C$10,$B436&lt;=Settings!$C$11),"OK","ERROR"))</f>
        <v/>
      </c>
      <c r="D436" s="18"/>
      <c r="E436" s="5"/>
      <c r="F436" s="19"/>
      <c r="G436" s="20" t="str">
        <f t="shared" si="12"/>
        <v/>
      </c>
      <c r="H436" s="18"/>
      <c r="I436" s="5"/>
      <c r="J436" s="21" t="str">
        <f t="shared" si="13"/>
        <v/>
      </c>
      <c r="K436" s="17" t="str">
        <f>IF(I436="","",MATCH($I436,Settings!$F$5:$F$46,0))</f>
        <v/>
      </c>
      <c r="L436" s="18"/>
    </row>
    <row r="437" spans="2:12" x14ac:dyDescent="0.25">
      <c r="B437" s="16"/>
      <c r="C437" s="17" t="str">
        <f>IF(B437="","",IF(AND($B437&gt;=Settings!$C$10,$B437&lt;=Settings!$C$11),"OK","ERROR"))</f>
        <v/>
      </c>
      <c r="D437" s="18"/>
      <c r="E437" s="5"/>
      <c r="F437" s="19"/>
      <c r="G437" s="20" t="str">
        <f t="shared" si="12"/>
        <v/>
      </c>
      <c r="H437" s="18"/>
      <c r="I437" s="5"/>
      <c r="J437" s="21" t="str">
        <f t="shared" si="13"/>
        <v/>
      </c>
      <c r="K437" s="17" t="str">
        <f>IF(I437="","",MATCH($I437,Settings!$F$5:$F$46,0))</f>
        <v/>
      </c>
      <c r="L437" s="18"/>
    </row>
    <row r="438" spans="2:12" x14ac:dyDescent="0.25">
      <c r="B438" s="16"/>
      <c r="C438" s="17" t="str">
        <f>IF(B438="","",IF(AND($B438&gt;=Settings!$C$10,$B438&lt;=Settings!$C$11),"OK","ERROR"))</f>
        <v/>
      </c>
      <c r="D438" s="18"/>
      <c r="E438" s="5"/>
      <c r="F438" s="19"/>
      <c r="G438" s="20" t="str">
        <f t="shared" si="12"/>
        <v/>
      </c>
      <c r="H438" s="18"/>
      <c r="I438" s="5"/>
      <c r="J438" s="21" t="str">
        <f t="shared" si="13"/>
        <v/>
      </c>
      <c r="K438" s="17" t="str">
        <f>IF(I438="","",MATCH($I438,Settings!$F$5:$F$46,0))</f>
        <v/>
      </c>
      <c r="L438" s="18"/>
    </row>
    <row r="439" spans="2:12" x14ac:dyDescent="0.25">
      <c r="B439" s="16"/>
      <c r="C439" s="17" t="str">
        <f>IF(B439="","",IF(AND($B439&gt;=Settings!$C$10,$B439&lt;=Settings!$C$11),"OK","ERROR"))</f>
        <v/>
      </c>
      <c r="D439" s="18"/>
      <c r="E439" s="5"/>
      <c r="F439" s="19"/>
      <c r="G439" s="20" t="str">
        <f t="shared" si="12"/>
        <v/>
      </c>
      <c r="H439" s="18"/>
      <c r="I439" s="5"/>
      <c r="J439" s="21" t="str">
        <f t="shared" si="13"/>
        <v/>
      </c>
      <c r="K439" s="17" t="str">
        <f>IF(I439="","",MATCH($I439,Settings!$F$5:$F$46,0))</f>
        <v/>
      </c>
      <c r="L439" s="18"/>
    </row>
    <row r="440" spans="2:12" x14ac:dyDescent="0.25">
      <c r="B440" s="16"/>
      <c r="C440" s="17" t="str">
        <f>IF(B440="","",IF(AND($B440&gt;=Settings!$C$10,$B440&lt;=Settings!$C$11),"OK","ERROR"))</f>
        <v/>
      </c>
      <c r="D440" s="18"/>
      <c r="E440" s="5"/>
      <c r="F440" s="19"/>
      <c r="G440" s="20" t="str">
        <f t="shared" si="12"/>
        <v/>
      </c>
      <c r="H440" s="18"/>
      <c r="I440" s="5"/>
      <c r="J440" s="21" t="str">
        <f t="shared" si="13"/>
        <v/>
      </c>
      <c r="K440" s="17" t="str">
        <f>IF(I440="","",MATCH($I440,Settings!$F$5:$F$46,0))</f>
        <v/>
      </c>
      <c r="L440" s="18"/>
    </row>
    <row r="441" spans="2:12" x14ac:dyDescent="0.25">
      <c r="B441" s="16"/>
      <c r="C441" s="17" t="str">
        <f>IF(B441="","",IF(AND($B441&gt;=Settings!$C$10,$B441&lt;=Settings!$C$11),"OK","ERROR"))</f>
        <v/>
      </c>
      <c r="D441" s="18"/>
      <c r="E441" s="5"/>
      <c r="F441" s="19"/>
      <c r="G441" s="20" t="str">
        <f t="shared" si="12"/>
        <v/>
      </c>
      <c r="H441" s="18"/>
      <c r="I441" s="5"/>
      <c r="J441" s="21" t="str">
        <f t="shared" si="13"/>
        <v/>
      </c>
      <c r="K441" s="17" t="str">
        <f>IF(I441="","",MATCH($I441,Settings!$F$5:$F$46,0))</f>
        <v/>
      </c>
      <c r="L441" s="18"/>
    </row>
    <row r="442" spans="2:12" x14ac:dyDescent="0.25">
      <c r="B442" s="16"/>
      <c r="C442" s="17" t="str">
        <f>IF(B442="","",IF(AND($B442&gt;=Settings!$C$10,$B442&lt;=Settings!$C$11),"OK","ERROR"))</f>
        <v/>
      </c>
      <c r="D442" s="18"/>
      <c r="E442" s="5"/>
      <c r="F442" s="19"/>
      <c r="G442" s="20" t="str">
        <f t="shared" si="12"/>
        <v/>
      </c>
      <c r="H442" s="18"/>
      <c r="I442" s="5"/>
      <c r="J442" s="21" t="str">
        <f t="shared" si="13"/>
        <v/>
      </c>
      <c r="K442" s="17" t="str">
        <f>IF(I442="","",MATCH($I442,Settings!$F$5:$F$46,0))</f>
        <v/>
      </c>
      <c r="L442" s="18"/>
    </row>
    <row r="443" spans="2:12" x14ac:dyDescent="0.25">
      <c r="B443" s="16"/>
      <c r="C443" s="17" t="str">
        <f>IF(B443="","",IF(AND($B443&gt;=Settings!$C$10,$B443&lt;=Settings!$C$11),"OK","ERROR"))</f>
        <v/>
      </c>
      <c r="D443" s="18"/>
      <c r="E443" s="5"/>
      <c r="F443" s="19"/>
      <c r="G443" s="20" t="str">
        <f t="shared" si="12"/>
        <v/>
      </c>
      <c r="H443" s="18"/>
      <c r="I443" s="5"/>
      <c r="J443" s="21" t="str">
        <f t="shared" si="13"/>
        <v/>
      </c>
      <c r="K443" s="17" t="str">
        <f>IF(I443="","",MATCH($I443,Settings!$F$5:$F$46,0))</f>
        <v/>
      </c>
      <c r="L443" s="18"/>
    </row>
    <row r="444" spans="2:12" x14ac:dyDescent="0.25">
      <c r="B444" s="16"/>
      <c r="C444" s="17" t="str">
        <f>IF(B444="","",IF(AND($B444&gt;=Settings!$C$10,$B444&lt;=Settings!$C$11),"OK","ERROR"))</f>
        <v/>
      </c>
      <c r="D444" s="18"/>
      <c r="E444" s="5"/>
      <c r="F444" s="19"/>
      <c r="G444" s="20" t="str">
        <f t="shared" si="12"/>
        <v/>
      </c>
      <c r="H444" s="18"/>
      <c r="I444" s="5"/>
      <c r="J444" s="21" t="str">
        <f t="shared" si="13"/>
        <v/>
      </c>
      <c r="K444" s="17" t="str">
        <f>IF(I444="","",MATCH($I444,Settings!$F$5:$F$46,0))</f>
        <v/>
      </c>
      <c r="L444" s="18"/>
    </row>
    <row r="445" spans="2:12" x14ac:dyDescent="0.25">
      <c r="B445" s="16"/>
      <c r="C445" s="17" t="str">
        <f>IF(B445="","",IF(AND($B445&gt;=Settings!$C$10,$B445&lt;=Settings!$C$11),"OK","ERROR"))</f>
        <v/>
      </c>
      <c r="D445" s="18"/>
      <c r="E445" s="5"/>
      <c r="F445" s="19"/>
      <c r="G445" s="20" t="str">
        <f t="shared" si="12"/>
        <v/>
      </c>
      <c r="H445" s="18"/>
      <c r="I445" s="5"/>
      <c r="J445" s="21" t="str">
        <f t="shared" si="13"/>
        <v/>
      </c>
      <c r="K445" s="17" t="str">
        <f>IF(I445="","",MATCH($I445,Settings!$F$5:$F$46,0))</f>
        <v/>
      </c>
      <c r="L445" s="18"/>
    </row>
    <row r="446" spans="2:12" x14ac:dyDescent="0.25">
      <c r="B446" s="16"/>
      <c r="C446" s="17" t="str">
        <f>IF(B446="","",IF(AND($B446&gt;=Settings!$C$10,$B446&lt;=Settings!$C$11),"OK","ERROR"))</f>
        <v/>
      </c>
      <c r="D446" s="18"/>
      <c r="E446" s="5"/>
      <c r="F446" s="19"/>
      <c r="G446" s="20" t="str">
        <f t="shared" si="12"/>
        <v/>
      </c>
      <c r="H446" s="18"/>
      <c r="I446" s="5"/>
      <c r="J446" s="21" t="str">
        <f t="shared" si="13"/>
        <v/>
      </c>
      <c r="K446" s="17" t="str">
        <f>IF(I446="","",MATCH($I446,Settings!$F$5:$F$46,0))</f>
        <v/>
      </c>
      <c r="L446" s="18"/>
    </row>
    <row r="447" spans="2:12" x14ac:dyDescent="0.25">
      <c r="B447" s="16"/>
      <c r="C447" s="17" t="str">
        <f>IF(B447="","",IF(AND($B447&gt;=Settings!$C$10,$B447&lt;=Settings!$C$11),"OK","ERROR"))</f>
        <v/>
      </c>
      <c r="D447" s="18"/>
      <c r="E447" s="5"/>
      <c r="F447" s="19"/>
      <c r="G447" s="20" t="str">
        <f t="shared" si="12"/>
        <v/>
      </c>
      <c r="H447" s="18"/>
      <c r="I447" s="5"/>
      <c r="J447" s="21" t="str">
        <f t="shared" si="13"/>
        <v/>
      </c>
      <c r="K447" s="17" t="str">
        <f>IF(I447="","",MATCH($I447,Settings!$F$5:$F$46,0))</f>
        <v/>
      </c>
      <c r="L447" s="18"/>
    </row>
    <row r="448" spans="2:12" x14ac:dyDescent="0.25">
      <c r="B448" s="16"/>
      <c r="C448" s="17" t="str">
        <f>IF(B448="","",IF(AND($B448&gt;=Settings!$C$10,$B448&lt;=Settings!$C$11),"OK","ERROR"))</f>
        <v/>
      </c>
      <c r="D448" s="18"/>
      <c r="E448" s="5"/>
      <c r="F448" s="19"/>
      <c r="G448" s="20" t="str">
        <f t="shared" si="12"/>
        <v/>
      </c>
      <c r="H448" s="18"/>
      <c r="I448" s="5"/>
      <c r="J448" s="21" t="str">
        <f t="shared" si="13"/>
        <v/>
      </c>
      <c r="K448" s="17" t="str">
        <f>IF(I448="","",MATCH($I448,Settings!$F$5:$F$46,0))</f>
        <v/>
      </c>
      <c r="L448" s="18"/>
    </row>
    <row r="449" spans="2:12" x14ac:dyDescent="0.25">
      <c r="B449" s="16"/>
      <c r="C449" s="17" t="str">
        <f>IF(B449="","",IF(AND($B449&gt;=Settings!$C$10,$B449&lt;=Settings!$C$11),"OK","ERROR"))</f>
        <v/>
      </c>
      <c r="D449" s="18"/>
      <c r="E449" s="5"/>
      <c r="F449" s="19"/>
      <c r="G449" s="20" t="str">
        <f t="shared" si="12"/>
        <v/>
      </c>
      <c r="H449" s="18"/>
      <c r="I449" s="5"/>
      <c r="J449" s="21" t="str">
        <f t="shared" si="13"/>
        <v/>
      </c>
      <c r="K449" s="17" t="str">
        <f>IF(I449="","",MATCH($I449,Settings!$F$5:$F$46,0))</f>
        <v/>
      </c>
      <c r="L449" s="18"/>
    </row>
    <row r="450" spans="2:12" x14ac:dyDescent="0.25">
      <c r="B450" s="16"/>
      <c r="C450" s="17" t="str">
        <f>IF(B450="","",IF(AND($B450&gt;=Settings!$C$10,$B450&lt;=Settings!$C$11),"OK","ERROR"))</f>
        <v/>
      </c>
      <c r="D450" s="18"/>
      <c r="E450" s="5"/>
      <c r="F450" s="19"/>
      <c r="G450" s="20" t="str">
        <f t="shared" si="12"/>
        <v/>
      </c>
      <c r="H450" s="18"/>
      <c r="I450" s="5"/>
      <c r="J450" s="21" t="str">
        <f t="shared" si="13"/>
        <v/>
      </c>
      <c r="K450" s="17" t="str">
        <f>IF(I450="","",MATCH($I450,Settings!$F$5:$F$46,0))</f>
        <v/>
      </c>
      <c r="L450" s="18"/>
    </row>
    <row r="451" spans="2:12" x14ac:dyDescent="0.25">
      <c r="B451" s="16"/>
      <c r="C451" s="17" t="str">
        <f>IF(B451="","",IF(AND($B451&gt;=Settings!$C$10,$B451&lt;=Settings!$C$11),"OK","ERROR"))</f>
        <v/>
      </c>
      <c r="D451" s="18"/>
      <c r="E451" s="5"/>
      <c r="F451" s="19"/>
      <c r="G451" s="20" t="str">
        <f t="shared" si="12"/>
        <v/>
      </c>
      <c r="H451" s="18"/>
      <c r="I451" s="5"/>
      <c r="J451" s="21" t="str">
        <f t="shared" si="13"/>
        <v/>
      </c>
      <c r="K451" s="17" t="str">
        <f>IF(I451="","",MATCH($I451,Settings!$F$5:$F$46,0))</f>
        <v/>
      </c>
      <c r="L451" s="18"/>
    </row>
    <row r="452" spans="2:12" x14ac:dyDescent="0.25">
      <c r="B452" s="16"/>
      <c r="C452" s="17" t="str">
        <f>IF(B452="","",IF(AND($B452&gt;=Settings!$C$10,$B452&lt;=Settings!$C$11),"OK","ERROR"))</f>
        <v/>
      </c>
      <c r="D452" s="18"/>
      <c r="E452" s="5"/>
      <c r="F452" s="19"/>
      <c r="G452" s="20" t="str">
        <f t="shared" si="12"/>
        <v/>
      </c>
      <c r="H452" s="18"/>
      <c r="I452" s="5"/>
      <c r="J452" s="21" t="str">
        <f t="shared" si="13"/>
        <v/>
      </c>
      <c r="K452" s="17" t="str">
        <f>IF(I452="","",MATCH($I452,Settings!$F$5:$F$46,0))</f>
        <v/>
      </c>
      <c r="L452" s="18"/>
    </row>
    <row r="453" spans="2:12" x14ac:dyDescent="0.25">
      <c r="B453" s="16"/>
      <c r="C453" s="17" t="str">
        <f>IF(B453="","",IF(AND($B453&gt;=Settings!$C$10,$B453&lt;=Settings!$C$11),"OK","ERROR"))</f>
        <v/>
      </c>
      <c r="D453" s="18"/>
      <c r="E453" s="5"/>
      <c r="F453" s="19"/>
      <c r="G453" s="20" t="str">
        <f t="shared" si="12"/>
        <v/>
      </c>
      <c r="H453" s="18"/>
      <c r="I453" s="5"/>
      <c r="J453" s="21" t="str">
        <f t="shared" si="13"/>
        <v/>
      </c>
      <c r="K453" s="17" t="str">
        <f>IF(I453="","",MATCH($I453,Settings!$F$5:$F$46,0))</f>
        <v/>
      </c>
      <c r="L453" s="18"/>
    </row>
    <row r="454" spans="2:12" x14ac:dyDescent="0.25">
      <c r="B454" s="16"/>
      <c r="C454" s="17" t="str">
        <f>IF(B454="","",IF(AND($B454&gt;=Settings!$C$10,$B454&lt;=Settings!$C$11),"OK","ERROR"))</f>
        <v/>
      </c>
      <c r="D454" s="18"/>
      <c r="E454" s="5"/>
      <c r="F454" s="19"/>
      <c r="G454" s="20" t="str">
        <f t="shared" ref="G454:G517" si="14">IF(F454="","",IF(I454&lt;&gt;"","OK","ERROR"))</f>
        <v/>
      </c>
      <c r="H454" s="18"/>
      <c r="I454" s="5"/>
      <c r="J454" s="21" t="str">
        <f t="shared" si="13"/>
        <v/>
      </c>
      <c r="K454" s="17" t="str">
        <f>IF(I454="","",MATCH($I454,Settings!$F$5:$F$46,0))</f>
        <v/>
      </c>
      <c r="L454" s="18"/>
    </row>
    <row r="455" spans="2:12" x14ac:dyDescent="0.25">
      <c r="B455" s="16"/>
      <c r="C455" s="17" t="str">
        <f>IF(B455="","",IF(AND($B455&gt;=Settings!$C$10,$B455&lt;=Settings!$C$11),"OK","ERROR"))</f>
        <v/>
      </c>
      <c r="D455" s="18"/>
      <c r="E455" s="5"/>
      <c r="F455" s="19"/>
      <c r="G455" s="20" t="str">
        <f t="shared" si="14"/>
        <v/>
      </c>
      <c r="H455" s="18"/>
      <c r="I455" s="5"/>
      <c r="J455" s="21" t="str">
        <f t="shared" ref="J455:J518" si="15">IF(I455="","",IF(ISERROR($K455)=TRUE,"ERROR","OK"))</f>
        <v/>
      </c>
      <c r="K455" s="17" t="str">
        <f>IF(I455="","",MATCH($I455,Settings!$F$5:$F$46,0))</f>
        <v/>
      </c>
      <c r="L455" s="18"/>
    </row>
    <row r="456" spans="2:12" x14ac:dyDescent="0.25">
      <c r="B456" s="16"/>
      <c r="C456" s="17" t="str">
        <f>IF(B456="","",IF(AND($B456&gt;=Settings!$C$10,$B456&lt;=Settings!$C$11),"OK","ERROR"))</f>
        <v/>
      </c>
      <c r="D456" s="18"/>
      <c r="E456" s="5"/>
      <c r="F456" s="19"/>
      <c r="G456" s="20" t="str">
        <f t="shared" si="14"/>
        <v/>
      </c>
      <c r="H456" s="18"/>
      <c r="I456" s="5"/>
      <c r="J456" s="21" t="str">
        <f t="shared" si="15"/>
        <v/>
      </c>
      <c r="K456" s="17" t="str">
        <f>IF(I456="","",MATCH($I456,Settings!$F$5:$F$46,0))</f>
        <v/>
      </c>
      <c r="L456" s="18"/>
    </row>
    <row r="457" spans="2:12" x14ac:dyDescent="0.25">
      <c r="B457" s="16"/>
      <c r="C457" s="17" t="str">
        <f>IF(B457="","",IF(AND($B457&gt;=Settings!$C$10,$B457&lt;=Settings!$C$11),"OK","ERROR"))</f>
        <v/>
      </c>
      <c r="D457" s="18"/>
      <c r="E457" s="5"/>
      <c r="F457" s="19"/>
      <c r="G457" s="20" t="str">
        <f t="shared" si="14"/>
        <v/>
      </c>
      <c r="H457" s="18"/>
      <c r="I457" s="5"/>
      <c r="J457" s="21" t="str">
        <f t="shared" si="15"/>
        <v/>
      </c>
      <c r="K457" s="17" t="str">
        <f>IF(I457="","",MATCH($I457,Settings!$F$5:$F$46,0))</f>
        <v/>
      </c>
      <c r="L457" s="18"/>
    </row>
    <row r="458" spans="2:12" x14ac:dyDescent="0.25">
      <c r="B458" s="16"/>
      <c r="C458" s="17" t="str">
        <f>IF(B458="","",IF(AND($B458&gt;=Settings!$C$10,$B458&lt;=Settings!$C$11),"OK","ERROR"))</f>
        <v/>
      </c>
      <c r="D458" s="18"/>
      <c r="E458" s="5"/>
      <c r="F458" s="19"/>
      <c r="G458" s="20" t="str">
        <f t="shared" si="14"/>
        <v/>
      </c>
      <c r="H458" s="18"/>
      <c r="I458" s="5"/>
      <c r="J458" s="21" t="str">
        <f t="shared" si="15"/>
        <v/>
      </c>
      <c r="K458" s="17" t="str">
        <f>IF(I458="","",MATCH($I458,Settings!$F$5:$F$46,0))</f>
        <v/>
      </c>
      <c r="L458" s="18"/>
    </row>
    <row r="459" spans="2:12" x14ac:dyDescent="0.25">
      <c r="B459" s="16"/>
      <c r="C459" s="17" t="str">
        <f>IF(B459="","",IF(AND($B459&gt;=Settings!$C$10,$B459&lt;=Settings!$C$11),"OK","ERROR"))</f>
        <v/>
      </c>
      <c r="D459" s="18"/>
      <c r="E459" s="5"/>
      <c r="F459" s="19"/>
      <c r="G459" s="20" t="str">
        <f t="shared" si="14"/>
        <v/>
      </c>
      <c r="H459" s="18"/>
      <c r="I459" s="5"/>
      <c r="J459" s="21" t="str">
        <f t="shared" si="15"/>
        <v/>
      </c>
      <c r="K459" s="17" t="str">
        <f>IF(I459="","",MATCH($I459,Settings!$F$5:$F$46,0))</f>
        <v/>
      </c>
      <c r="L459" s="18"/>
    </row>
    <row r="460" spans="2:12" x14ac:dyDescent="0.25">
      <c r="B460" s="16"/>
      <c r="C460" s="17" t="str">
        <f>IF(B460="","",IF(AND($B460&gt;=Settings!$C$10,$B460&lt;=Settings!$C$11),"OK","ERROR"))</f>
        <v/>
      </c>
      <c r="D460" s="18"/>
      <c r="E460" s="5"/>
      <c r="F460" s="19"/>
      <c r="G460" s="20" t="str">
        <f t="shared" si="14"/>
        <v/>
      </c>
      <c r="H460" s="18"/>
      <c r="I460" s="5"/>
      <c r="J460" s="21" t="str">
        <f t="shared" si="15"/>
        <v/>
      </c>
      <c r="K460" s="17" t="str">
        <f>IF(I460="","",MATCH($I460,Settings!$F$5:$F$46,0))</f>
        <v/>
      </c>
      <c r="L460" s="18"/>
    </row>
    <row r="461" spans="2:12" x14ac:dyDescent="0.25">
      <c r="B461" s="16"/>
      <c r="C461" s="17" t="str">
        <f>IF(B461="","",IF(AND($B461&gt;=Settings!$C$10,$B461&lt;=Settings!$C$11),"OK","ERROR"))</f>
        <v/>
      </c>
      <c r="D461" s="18"/>
      <c r="E461" s="5"/>
      <c r="F461" s="19"/>
      <c r="G461" s="20" t="str">
        <f t="shared" si="14"/>
        <v/>
      </c>
      <c r="H461" s="18"/>
      <c r="I461" s="5"/>
      <c r="J461" s="21" t="str">
        <f t="shared" si="15"/>
        <v/>
      </c>
      <c r="K461" s="17" t="str">
        <f>IF(I461="","",MATCH($I461,Settings!$F$5:$F$46,0))</f>
        <v/>
      </c>
      <c r="L461" s="18"/>
    </row>
    <row r="462" spans="2:12" x14ac:dyDescent="0.25">
      <c r="B462" s="16"/>
      <c r="C462" s="17" t="str">
        <f>IF(B462="","",IF(AND($B462&gt;=Settings!$C$10,$B462&lt;=Settings!$C$11),"OK","ERROR"))</f>
        <v/>
      </c>
      <c r="D462" s="18"/>
      <c r="E462" s="5"/>
      <c r="F462" s="19"/>
      <c r="G462" s="20" t="str">
        <f t="shared" si="14"/>
        <v/>
      </c>
      <c r="H462" s="18"/>
      <c r="I462" s="5"/>
      <c r="J462" s="21" t="str">
        <f t="shared" si="15"/>
        <v/>
      </c>
      <c r="K462" s="17" t="str">
        <f>IF(I462="","",MATCH($I462,Settings!$F$5:$F$46,0))</f>
        <v/>
      </c>
      <c r="L462" s="18"/>
    </row>
    <row r="463" spans="2:12" x14ac:dyDescent="0.25">
      <c r="B463" s="16"/>
      <c r="C463" s="17" t="str">
        <f>IF(B463="","",IF(AND($B463&gt;=Settings!$C$10,$B463&lt;=Settings!$C$11),"OK","ERROR"))</f>
        <v/>
      </c>
      <c r="D463" s="18"/>
      <c r="E463" s="5"/>
      <c r="F463" s="19"/>
      <c r="G463" s="20" t="str">
        <f t="shared" si="14"/>
        <v/>
      </c>
      <c r="H463" s="18"/>
      <c r="I463" s="5"/>
      <c r="J463" s="21" t="str">
        <f t="shared" si="15"/>
        <v/>
      </c>
      <c r="K463" s="17" t="str">
        <f>IF(I463="","",MATCH($I463,Settings!$F$5:$F$46,0))</f>
        <v/>
      </c>
      <c r="L463" s="18"/>
    </row>
    <row r="464" spans="2:12" x14ac:dyDescent="0.25">
      <c r="B464" s="16"/>
      <c r="C464" s="17" t="str">
        <f>IF(B464="","",IF(AND($B464&gt;=Settings!$C$10,$B464&lt;=Settings!$C$11),"OK","ERROR"))</f>
        <v/>
      </c>
      <c r="D464" s="18"/>
      <c r="E464" s="5"/>
      <c r="F464" s="19"/>
      <c r="G464" s="20" t="str">
        <f t="shared" si="14"/>
        <v/>
      </c>
      <c r="H464" s="18"/>
      <c r="I464" s="5"/>
      <c r="J464" s="21" t="str">
        <f t="shared" si="15"/>
        <v/>
      </c>
      <c r="K464" s="17" t="str">
        <f>IF(I464="","",MATCH($I464,Settings!$F$5:$F$46,0))</f>
        <v/>
      </c>
      <c r="L464" s="18"/>
    </row>
    <row r="465" spans="2:12" x14ac:dyDescent="0.25">
      <c r="B465" s="16"/>
      <c r="C465" s="17" t="str">
        <f>IF(B465="","",IF(AND($B465&gt;=Settings!$C$10,$B465&lt;=Settings!$C$11),"OK","ERROR"))</f>
        <v/>
      </c>
      <c r="D465" s="18"/>
      <c r="E465" s="5"/>
      <c r="F465" s="19"/>
      <c r="G465" s="20" t="str">
        <f t="shared" si="14"/>
        <v/>
      </c>
      <c r="H465" s="18"/>
      <c r="I465" s="5"/>
      <c r="J465" s="21" t="str">
        <f t="shared" si="15"/>
        <v/>
      </c>
      <c r="K465" s="17" t="str">
        <f>IF(I465="","",MATCH($I465,Settings!$F$5:$F$46,0))</f>
        <v/>
      </c>
      <c r="L465" s="18"/>
    </row>
    <row r="466" spans="2:12" x14ac:dyDescent="0.25">
      <c r="B466" s="16"/>
      <c r="C466" s="17" t="str">
        <f>IF(B466="","",IF(AND($B466&gt;=Settings!$C$10,$B466&lt;=Settings!$C$11),"OK","ERROR"))</f>
        <v/>
      </c>
      <c r="D466" s="18"/>
      <c r="E466" s="5"/>
      <c r="F466" s="19"/>
      <c r="G466" s="20" t="str">
        <f t="shared" si="14"/>
        <v/>
      </c>
      <c r="H466" s="18"/>
      <c r="I466" s="5"/>
      <c r="J466" s="21" t="str">
        <f t="shared" si="15"/>
        <v/>
      </c>
      <c r="K466" s="17" t="str">
        <f>IF(I466="","",MATCH($I466,Settings!$F$5:$F$46,0))</f>
        <v/>
      </c>
      <c r="L466" s="18"/>
    </row>
    <row r="467" spans="2:12" x14ac:dyDescent="0.25">
      <c r="B467" s="16"/>
      <c r="C467" s="17" t="str">
        <f>IF(B467="","",IF(AND($B467&gt;=Settings!$C$10,$B467&lt;=Settings!$C$11),"OK","ERROR"))</f>
        <v/>
      </c>
      <c r="D467" s="18"/>
      <c r="E467" s="5"/>
      <c r="F467" s="19"/>
      <c r="G467" s="20" t="str">
        <f t="shared" si="14"/>
        <v/>
      </c>
      <c r="H467" s="18"/>
      <c r="I467" s="5"/>
      <c r="J467" s="21" t="str">
        <f t="shared" si="15"/>
        <v/>
      </c>
      <c r="K467" s="17" t="str">
        <f>IF(I467="","",MATCH($I467,Settings!$F$5:$F$46,0))</f>
        <v/>
      </c>
      <c r="L467" s="18"/>
    </row>
    <row r="468" spans="2:12" x14ac:dyDescent="0.25">
      <c r="B468" s="16"/>
      <c r="C468" s="17" t="str">
        <f>IF(B468="","",IF(AND($B468&gt;=Settings!$C$10,$B468&lt;=Settings!$C$11),"OK","ERROR"))</f>
        <v/>
      </c>
      <c r="D468" s="18"/>
      <c r="E468" s="5"/>
      <c r="F468" s="19"/>
      <c r="G468" s="20" t="str">
        <f t="shared" si="14"/>
        <v/>
      </c>
      <c r="H468" s="18"/>
      <c r="I468" s="5"/>
      <c r="J468" s="21" t="str">
        <f t="shared" si="15"/>
        <v/>
      </c>
      <c r="K468" s="17" t="str">
        <f>IF(I468="","",MATCH($I468,Settings!$F$5:$F$46,0))</f>
        <v/>
      </c>
      <c r="L468" s="18"/>
    </row>
    <row r="469" spans="2:12" x14ac:dyDescent="0.25">
      <c r="B469" s="16"/>
      <c r="C469" s="17" t="str">
        <f>IF(B469="","",IF(AND($B469&gt;=Settings!$C$10,$B469&lt;=Settings!$C$11),"OK","ERROR"))</f>
        <v/>
      </c>
      <c r="D469" s="18"/>
      <c r="E469" s="5"/>
      <c r="F469" s="19"/>
      <c r="G469" s="20" t="str">
        <f t="shared" si="14"/>
        <v/>
      </c>
      <c r="H469" s="18"/>
      <c r="I469" s="5"/>
      <c r="J469" s="21" t="str">
        <f t="shared" si="15"/>
        <v/>
      </c>
      <c r="K469" s="17" t="str">
        <f>IF(I469="","",MATCH($I469,Settings!$F$5:$F$46,0))</f>
        <v/>
      </c>
      <c r="L469" s="18"/>
    </row>
    <row r="470" spans="2:12" x14ac:dyDescent="0.25">
      <c r="B470" s="16"/>
      <c r="C470" s="17" t="str">
        <f>IF(B470="","",IF(AND($B470&gt;=Settings!$C$10,$B470&lt;=Settings!$C$11),"OK","ERROR"))</f>
        <v/>
      </c>
      <c r="D470" s="18"/>
      <c r="E470" s="5"/>
      <c r="F470" s="19"/>
      <c r="G470" s="20" t="str">
        <f t="shared" si="14"/>
        <v/>
      </c>
      <c r="H470" s="18"/>
      <c r="I470" s="5"/>
      <c r="J470" s="21" t="str">
        <f t="shared" si="15"/>
        <v/>
      </c>
      <c r="K470" s="17" t="str">
        <f>IF(I470="","",MATCH($I470,Settings!$F$5:$F$46,0))</f>
        <v/>
      </c>
      <c r="L470" s="18"/>
    </row>
    <row r="471" spans="2:12" x14ac:dyDescent="0.25">
      <c r="B471" s="16"/>
      <c r="C471" s="17" t="str">
        <f>IF(B471="","",IF(AND($B471&gt;=Settings!$C$10,$B471&lt;=Settings!$C$11),"OK","ERROR"))</f>
        <v/>
      </c>
      <c r="D471" s="18"/>
      <c r="E471" s="5"/>
      <c r="F471" s="19"/>
      <c r="G471" s="20" t="str">
        <f t="shared" si="14"/>
        <v/>
      </c>
      <c r="H471" s="18"/>
      <c r="I471" s="5"/>
      <c r="J471" s="21" t="str">
        <f t="shared" si="15"/>
        <v/>
      </c>
      <c r="K471" s="17" t="str">
        <f>IF(I471="","",MATCH($I471,Settings!$F$5:$F$46,0))</f>
        <v/>
      </c>
      <c r="L471" s="18"/>
    </row>
    <row r="472" spans="2:12" x14ac:dyDescent="0.25">
      <c r="B472" s="16"/>
      <c r="C472" s="17" t="str">
        <f>IF(B472="","",IF(AND($B472&gt;=Settings!$C$10,$B472&lt;=Settings!$C$11),"OK","ERROR"))</f>
        <v/>
      </c>
      <c r="D472" s="18"/>
      <c r="E472" s="5"/>
      <c r="F472" s="19"/>
      <c r="G472" s="20" t="str">
        <f t="shared" si="14"/>
        <v/>
      </c>
      <c r="H472" s="18"/>
      <c r="I472" s="5"/>
      <c r="J472" s="21" t="str">
        <f t="shared" si="15"/>
        <v/>
      </c>
      <c r="K472" s="17" t="str">
        <f>IF(I472="","",MATCH($I472,Settings!$F$5:$F$46,0))</f>
        <v/>
      </c>
      <c r="L472" s="18"/>
    </row>
    <row r="473" spans="2:12" x14ac:dyDescent="0.25">
      <c r="B473" s="16"/>
      <c r="C473" s="17" t="str">
        <f>IF(B473="","",IF(AND($B473&gt;=Settings!$C$10,$B473&lt;=Settings!$C$11),"OK","ERROR"))</f>
        <v/>
      </c>
      <c r="D473" s="18"/>
      <c r="E473" s="5"/>
      <c r="F473" s="19"/>
      <c r="G473" s="20" t="str">
        <f t="shared" si="14"/>
        <v/>
      </c>
      <c r="H473" s="18"/>
      <c r="I473" s="5"/>
      <c r="J473" s="21" t="str">
        <f t="shared" si="15"/>
        <v/>
      </c>
      <c r="K473" s="17" t="str">
        <f>IF(I473="","",MATCH($I473,Settings!$F$5:$F$46,0))</f>
        <v/>
      </c>
      <c r="L473" s="18"/>
    </row>
    <row r="474" spans="2:12" x14ac:dyDescent="0.25">
      <c r="B474" s="16"/>
      <c r="C474" s="17" t="str">
        <f>IF(B474="","",IF(AND($B474&gt;=Settings!$C$10,$B474&lt;=Settings!$C$11),"OK","ERROR"))</f>
        <v/>
      </c>
      <c r="D474" s="18"/>
      <c r="E474" s="5"/>
      <c r="F474" s="19"/>
      <c r="G474" s="20" t="str">
        <f t="shared" si="14"/>
        <v/>
      </c>
      <c r="H474" s="18"/>
      <c r="I474" s="5"/>
      <c r="J474" s="21" t="str">
        <f t="shared" si="15"/>
        <v/>
      </c>
      <c r="K474" s="17" t="str">
        <f>IF(I474="","",MATCH($I474,Settings!$F$5:$F$46,0))</f>
        <v/>
      </c>
      <c r="L474" s="18"/>
    </row>
    <row r="475" spans="2:12" x14ac:dyDescent="0.25">
      <c r="B475" s="16"/>
      <c r="C475" s="17" t="str">
        <f>IF(B475="","",IF(AND($B475&gt;=Settings!$C$10,$B475&lt;=Settings!$C$11),"OK","ERROR"))</f>
        <v/>
      </c>
      <c r="D475" s="18"/>
      <c r="E475" s="5"/>
      <c r="F475" s="19"/>
      <c r="G475" s="20" t="str">
        <f t="shared" si="14"/>
        <v/>
      </c>
      <c r="H475" s="18"/>
      <c r="I475" s="5"/>
      <c r="J475" s="21" t="str">
        <f t="shared" si="15"/>
        <v/>
      </c>
      <c r="K475" s="17" t="str">
        <f>IF(I475="","",MATCH($I475,Settings!$F$5:$F$46,0))</f>
        <v/>
      </c>
      <c r="L475" s="18"/>
    </row>
    <row r="476" spans="2:12" x14ac:dyDescent="0.25">
      <c r="B476" s="16"/>
      <c r="C476" s="17" t="str">
        <f>IF(B476="","",IF(AND($B476&gt;=Settings!$C$10,$B476&lt;=Settings!$C$11),"OK","ERROR"))</f>
        <v/>
      </c>
      <c r="D476" s="18"/>
      <c r="E476" s="5"/>
      <c r="F476" s="19"/>
      <c r="G476" s="20" t="str">
        <f t="shared" si="14"/>
        <v/>
      </c>
      <c r="H476" s="18"/>
      <c r="I476" s="5"/>
      <c r="J476" s="21" t="str">
        <f t="shared" si="15"/>
        <v/>
      </c>
      <c r="K476" s="17" t="str">
        <f>IF(I476="","",MATCH($I476,Settings!$F$5:$F$46,0))</f>
        <v/>
      </c>
      <c r="L476" s="18"/>
    </row>
    <row r="477" spans="2:12" x14ac:dyDescent="0.25">
      <c r="B477" s="16"/>
      <c r="C477" s="17" t="str">
        <f>IF(B477="","",IF(AND($B477&gt;=Settings!$C$10,$B477&lt;=Settings!$C$11),"OK","ERROR"))</f>
        <v/>
      </c>
      <c r="D477" s="18"/>
      <c r="E477" s="5"/>
      <c r="F477" s="19"/>
      <c r="G477" s="20" t="str">
        <f t="shared" si="14"/>
        <v/>
      </c>
      <c r="H477" s="18"/>
      <c r="I477" s="5"/>
      <c r="J477" s="21" t="str">
        <f t="shared" si="15"/>
        <v/>
      </c>
      <c r="K477" s="17" t="str">
        <f>IF(I477="","",MATCH($I477,Settings!$F$5:$F$46,0))</f>
        <v/>
      </c>
      <c r="L477" s="18"/>
    </row>
    <row r="478" spans="2:12" x14ac:dyDescent="0.25">
      <c r="B478" s="16"/>
      <c r="C478" s="17" t="str">
        <f>IF(B478="","",IF(AND($B478&gt;=Settings!$C$10,$B478&lt;=Settings!$C$11),"OK","ERROR"))</f>
        <v/>
      </c>
      <c r="D478" s="18"/>
      <c r="E478" s="5"/>
      <c r="F478" s="19"/>
      <c r="G478" s="20" t="str">
        <f t="shared" si="14"/>
        <v/>
      </c>
      <c r="H478" s="18"/>
      <c r="I478" s="5"/>
      <c r="J478" s="21" t="str">
        <f t="shared" si="15"/>
        <v/>
      </c>
      <c r="K478" s="17" t="str">
        <f>IF(I478="","",MATCH($I478,Settings!$F$5:$F$46,0))</f>
        <v/>
      </c>
      <c r="L478" s="18"/>
    </row>
    <row r="479" spans="2:12" x14ac:dyDescent="0.25">
      <c r="B479" s="16"/>
      <c r="C479" s="17" t="str">
        <f>IF(B479="","",IF(AND($B479&gt;=Settings!$C$10,$B479&lt;=Settings!$C$11),"OK","ERROR"))</f>
        <v/>
      </c>
      <c r="D479" s="18"/>
      <c r="E479" s="5"/>
      <c r="F479" s="19"/>
      <c r="G479" s="20" t="str">
        <f t="shared" si="14"/>
        <v/>
      </c>
      <c r="H479" s="18"/>
      <c r="I479" s="5"/>
      <c r="J479" s="21" t="str">
        <f t="shared" si="15"/>
        <v/>
      </c>
      <c r="K479" s="17" t="str">
        <f>IF(I479="","",MATCH($I479,Settings!$F$5:$F$46,0))</f>
        <v/>
      </c>
      <c r="L479" s="18"/>
    </row>
    <row r="480" spans="2:12" x14ac:dyDescent="0.25">
      <c r="B480" s="16"/>
      <c r="C480" s="17" t="str">
        <f>IF(B480="","",IF(AND($B480&gt;=Settings!$C$10,$B480&lt;=Settings!$C$11),"OK","ERROR"))</f>
        <v/>
      </c>
      <c r="D480" s="18"/>
      <c r="E480" s="5"/>
      <c r="F480" s="19"/>
      <c r="G480" s="20" t="str">
        <f t="shared" si="14"/>
        <v/>
      </c>
      <c r="H480" s="18"/>
      <c r="I480" s="5"/>
      <c r="J480" s="21" t="str">
        <f t="shared" si="15"/>
        <v/>
      </c>
      <c r="K480" s="17" t="str">
        <f>IF(I480="","",MATCH($I480,Settings!$F$5:$F$46,0))</f>
        <v/>
      </c>
      <c r="L480" s="18"/>
    </row>
    <row r="481" spans="2:12" x14ac:dyDescent="0.25">
      <c r="B481" s="16"/>
      <c r="C481" s="17" t="str">
        <f>IF(B481="","",IF(AND($B481&gt;=Settings!$C$10,$B481&lt;=Settings!$C$11),"OK","ERROR"))</f>
        <v/>
      </c>
      <c r="D481" s="18"/>
      <c r="E481" s="5"/>
      <c r="F481" s="19"/>
      <c r="G481" s="20" t="str">
        <f t="shared" si="14"/>
        <v/>
      </c>
      <c r="H481" s="18"/>
      <c r="I481" s="5"/>
      <c r="J481" s="21" t="str">
        <f t="shared" si="15"/>
        <v/>
      </c>
      <c r="K481" s="17" t="str">
        <f>IF(I481="","",MATCH($I481,Settings!$F$5:$F$46,0))</f>
        <v/>
      </c>
      <c r="L481" s="18"/>
    </row>
    <row r="482" spans="2:12" x14ac:dyDescent="0.25">
      <c r="B482" s="16"/>
      <c r="C482" s="17" t="str">
        <f>IF(B482="","",IF(AND($B482&gt;=Settings!$C$10,$B482&lt;=Settings!$C$11),"OK","ERROR"))</f>
        <v/>
      </c>
      <c r="D482" s="18"/>
      <c r="E482" s="5"/>
      <c r="F482" s="19"/>
      <c r="G482" s="20" t="str">
        <f t="shared" si="14"/>
        <v/>
      </c>
      <c r="H482" s="18"/>
      <c r="I482" s="5"/>
      <c r="J482" s="21" t="str">
        <f t="shared" si="15"/>
        <v/>
      </c>
      <c r="K482" s="17" t="str">
        <f>IF(I482="","",MATCH($I482,Settings!$F$5:$F$46,0))</f>
        <v/>
      </c>
      <c r="L482" s="18"/>
    </row>
    <row r="483" spans="2:12" x14ac:dyDescent="0.25">
      <c r="B483" s="16"/>
      <c r="C483" s="17" t="str">
        <f>IF(B483="","",IF(AND($B483&gt;=Settings!$C$10,$B483&lt;=Settings!$C$11),"OK","ERROR"))</f>
        <v/>
      </c>
      <c r="D483" s="18"/>
      <c r="E483" s="5"/>
      <c r="F483" s="19"/>
      <c r="G483" s="20" t="str">
        <f t="shared" si="14"/>
        <v/>
      </c>
      <c r="H483" s="18"/>
      <c r="I483" s="5"/>
      <c r="J483" s="21" t="str">
        <f t="shared" si="15"/>
        <v/>
      </c>
      <c r="K483" s="17" t="str">
        <f>IF(I483="","",MATCH($I483,Settings!$F$5:$F$46,0))</f>
        <v/>
      </c>
      <c r="L483" s="18"/>
    </row>
    <row r="484" spans="2:12" x14ac:dyDescent="0.25">
      <c r="B484" s="16"/>
      <c r="C484" s="17" t="str">
        <f>IF(B484="","",IF(AND($B484&gt;=Settings!$C$10,$B484&lt;=Settings!$C$11),"OK","ERROR"))</f>
        <v/>
      </c>
      <c r="D484" s="18"/>
      <c r="E484" s="5"/>
      <c r="F484" s="19"/>
      <c r="G484" s="20" t="str">
        <f t="shared" si="14"/>
        <v/>
      </c>
      <c r="H484" s="18"/>
      <c r="I484" s="5"/>
      <c r="J484" s="21" t="str">
        <f t="shared" si="15"/>
        <v/>
      </c>
      <c r="K484" s="17" t="str">
        <f>IF(I484="","",MATCH($I484,Settings!$F$5:$F$46,0))</f>
        <v/>
      </c>
      <c r="L484" s="18"/>
    </row>
    <row r="485" spans="2:12" x14ac:dyDescent="0.25">
      <c r="B485" s="16"/>
      <c r="C485" s="17" t="str">
        <f>IF(B485="","",IF(AND($B485&gt;=Settings!$C$10,$B485&lt;=Settings!$C$11),"OK","ERROR"))</f>
        <v/>
      </c>
      <c r="D485" s="18"/>
      <c r="E485" s="5"/>
      <c r="F485" s="19"/>
      <c r="G485" s="20" t="str">
        <f t="shared" si="14"/>
        <v/>
      </c>
      <c r="H485" s="18"/>
      <c r="I485" s="5"/>
      <c r="J485" s="21" t="str">
        <f t="shared" si="15"/>
        <v/>
      </c>
      <c r="K485" s="17" t="str">
        <f>IF(I485="","",MATCH($I485,Settings!$F$5:$F$46,0))</f>
        <v/>
      </c>
      <c r="L485" s="18"/>
    </row>
    <row r="486" spans="2:12" x14ac:dyDescent="0.25">
      <c r="B486" s="16"/>
      <c r="C486" s="17" t="str">
        <f>IF(B486="","",IF(AND($B486&gt;=Settings!$C$10,$B486&lt;=Settings!$C$11),"OK","ERROR"))</f>
        <v/>
      </c>
      <c r="D486" s="18"/>
      <c r="E486" s="5"/>
      <c r="F486" s="19"/>
      <c r="G486" s="20" t="str">
        <f t="shared" si="14"/>
        <v/>
      </c>
      <c r="H486" s="18"/>
      <c r="I486" s="5"/>
      <c r="J486" s="21" t="str">
        <f t="shared" si="15"/>
        <v/>
      </c>
      <c r="K486" s="17" t="str">
        <f>IF(I486="","",MATCH($I486,Settings!$F$5:$F$46,0))</f>
        <v/>
      </c>
      <c r="L486" s="18"/>
    </row>
    <row r="487" spans="2:12" x14ac:dyDescent="0.25">
      <c r="B487" s="16"/>
      <c r="C487" s="17" t="str">
        <f>IF(B487="","",IF(AND($B487&gt;=Settings!$C$10,$B487&lt;=Settings!$C$11),"OK","ERROR"))</f>
        <v/>
      </c>
      <c r="D487" s="18"/>
      <c r="E487" s="5"/>
      <c r="F487" s="19"/>
      <c r="G487" s="20" t="str">
        <f t="shared" si="14"/>
        <v/>
      </c>
      <c r="H487" s="18"/>
      <c r="I487" s="5"/>
      <c r="J487" s="21" t="str">
        <f t="shared" si="15"/>
        <v/>
      </c>
      <c r="K487" s="17" t="str">
        <f>IF(I487="","",MATCH($I487,Settings!$F$5:$F$46,0))</f>
        <v/>
      </c>
      <c r="L487" s="18"/>
    </row>
    <row r="488" spans="2:12" x14ac:dyDescent="0.25">
      <c r="B488" s="16"/>
      <c r="C488" s="17" t="str">
        <f>IF(B488="","",IF(AND($B488&gt;=Settings!$C$10,$B488&lt;=Settings!$C$11),"OK","ERROR"))</f>
        <v/>
      </c>
      <c r="D488" s="18"/>
      <c r="E488" s="5"/>
      <c r="F488" s="19"/>
      <c r="G488" s="20" t="str">
        <f t="shared" si="14"/>
        <v/>
      </c>
      <c r="H488" s="18"/>
      <c r="I488" s="5"/>
      <c r="J488" s="21" t="str">
        <f t="shared" si="15"/>
        <v/>
      </c>
      <c r="K488" s="17" t="str">
        <f>IF(I488="","",MATCH($I488,Settings!$F$5:$F$46,0))</f>
        <v/>
      </c>
      <c r="L488" s="18"/>
    </row>
    <row r="489" spans="2:12" x14ac:dyDescent="0.25">
      <c r="B489" s="16"/>
      <c r="C489" s="17" t="str">
        <f>IF(B489="","",IF(AND($B489&gt;=Settings!$C$10,$B489&lt;=Settings!$C$11),"OK","ERROR"))</f>
        <v/>
      </c>
      <c r="D489" s="18"/>
      <c r="E489" s="5"/>
      <c r="F489" s="19"/>
      <c r="G489" s="20" t="str">
        <f t="shared" si="14"/>
        <v/>
      </c>
      <c r="H489" s="18"/>
      <c r="I489" s="5"/>
      <c r="J489" s="21" t="str">
        <f t="shared" si="15"/>
        <v/>
      </c>
      <c r="K489" s="17" t="str">
        <f>IF(I489="","",MATCH($I489,Settings!$F$5:$F$46,0))</f>
        <v/>
      </c>
      <c r="L489" s="18"/>
    </row>
    <row r="490" spans="2:12" x14ac:dyDescent="0.25">
      <c r="B490" s="16"/>
      <c r="C490" s="17" t="str">
        <f>IF(B490="","",IF(AND($B490&gt;=Settings!$C$10,$B490&lt;=Settings!$C$11),"OK","ERROR"))</f>
        <v/>
      </c>
      <c r="D490" s="18"/>
      <c r="E490" s="5"/>
      <c r="F490" s="19"/>
      <c r="G490" s="20" t="str">
        <f t="shared" si="14"/>
        <v/>
      </c>
      <c r="H490" s="18"/>
      <c r="I490" s="5"/>
      <c r="J490" s="21" t="str">
        <f t="shared" si="15"/>
        <v/>
      </c>
      <c r="K490" s="17" t="str">
        <f>IF(I490="","",MATCH($I490,Settings!$F$5:$F$46,0))</f>
        <v/>
      </c>
      <c r="L490" s="18"/>
    </row>
    <row r="491" spans="2:12" x14ac:dyDescent="0.25">
      <c r="B491" s="16"/>
      <c r="C491" s="17" t="str">
        <f>IF(B491="","",IF(AND($B491&gt;=Settings!$C$10,$B491&lt;=Settings!$C$11),"OK","ERROR"))</f>
        <v/>
      </c>
      <c r="D491" s="18"/>
      <c r="E491" s="5"/>
      <c r="F491" s="19"/>
      <c r="G491" s="20" t="str">
        <f t="shared" si="14"/>
        <v/>
      </c>
      <c r="H491" s="18"/>
      <c r="I491" s="5"/>
      <c r="J491" s="21" t="str">
        <f t="shared" si="15"/>
        <v/>
      </c>
      <c r="K491" s="17" t="str">
        <f>IF(I491="","",MATCH($I491,Settings!$F$5:$F$46,0))</f>
        <v/>
      </c>
      <c r="L491" s="18"/>
    </row>
    <row r="492" spans="2:12" x14ac:dyDescent="0.25">
      <c r="B492" s="16"/>
      <c r="C492" s="17" t="str">
        <f>IF(B492="","",IF(AND($B492&gt;=Settings!$C$10,$B492&lt;=Settings!$C$11),"OK","ERROR"))</f>
        <v/>
      </c>
      <c r="D492" s="18"/>
      <c r="E492" s="5"/>
      <c r="F492" s="19"/>
      <c r="G492" s="20" t="str">
        <f t="shared" si="14"/>
        <v/>
      </c>
      <c r="H492" s="18"/>
      <c r="I492" s="5"/>
      <c r="J492" s="21" t="str">
        <f t="shared" si="15"/>
        <v/>
      </c>
      <c r="K492" s="17" t="str">
        <f>IF(I492="","",MATCH($I492,Settings!$F$5:$F$46,0))</f>
        <v/>
      </c>
      <c r="L492" s="18"/>
    </row>
    <row r="493" spans="2:12" x14ac:dyDescent="0.25">
      <c r="B493" s="16"/>
      <c r="C493" s="17" t="str">
        <f>IF(B493="","",IF(AND($B493&gt;=Settings!$C$10,$B493&lt;=Settings!$C$11),"OK","ERROR"))</f>
        <v/>
      </c>
      <c r="D493" s="18"/>
      <c r="E493" s="5"/>
      <c r="F493" s="19"/>
      <c r="G493" s="20" t="str">
        <f t="shared" si="14"/>
        <v/>
      </c>
      <c r="H493" s="18"/>
      <c r="I493" s="5"/>
      <c r="J493" s="21" t="str">
        <f t="shared" si="15"/>
        <v/>
      </c>
      <c r="K493" s="17" t="str">
        <f>IF(I493="","",MATCH($I493,Settings!$F$5:$F$46,0))</f>
        <v/>
      </c>
      <c r="L493" s="18"/>
    </row>
    <row r="494" spans="2:12" x14ac:dyDescent="0.25">
      <c r="B494" s="16"/>
      <c r="C494" s="17" t="str">
        <f>IF(B494="","",IF(AND($B494&gt;=Settings!$C$10,$B494&lt;=Settings!$C$11),"OK","ERROR"))</f>
        <v/>
      </c>
      <c r="D494" s="18"/>
      <c r="E494" s="5"/>
      <c r="F494" s="19"/>
      <c r="G494" s="20" t="str">
        <f t="shared" si="14"/>
        <v/>
      </c>
      <c r="H494" s="18"/>
      <c r="I494" s="5"/>
      <c r="J494" s="21" t="str">
        <f t="shared" si="15"/>
        <v/>
      </c>
      <c r="K494" s="17" t="str">
        <f>IF(I494="","",MATCH($I494,Settings!$F$5:$F$46,0))</f>
        <v/>
      </c>
      <c r="L494" s="18"/>
    </row>
    <row r="495" spans="2:12" x14ac:dyDescent="0.25">
      <c r="B495" s="16"/>
      <c r="C495" s="17" t="str">
        <f>IF(B495="","",IF(AND($B495&gt;=Settings!$C$10,$B495&lt;=Settings!$C$11),"OK","ERROR"))</f>
        <v/>
      </c>
      <c r="D495" s="18"/>
      <c r="E495" s="5"/>
      <c r="F495" s="19"/>
      <c r="G495" s="20" t="str">
        <f t="shared" si="14"/>
        <v/>
      </c>
      <c r="H495" s="18"/>
      <c r="I495" s="5"/>
      <c r="J495" s="21" t="str">
        <f t="shared" si="15"/>
        <v/>
      </c>
      <c r="K495" s="17" t="str">
        <f>IF(I495="","",MATCH($I495,Settings!$F$5:$F$46,0))</f>
        <v/>
      </c>
      <c r="L495" s="18"/>
    </row>
    <row r="496" spans="2:12" x14ac:dyDescent="0.25">
      <c r="B496" s="16"/>
      <c r="C496" s="17" t="str">
        <f>IF(B496="","",IF(AND($B496&gt;=Settings!$C$10,$B496&lt;=Settings!$C$11),"OK","ERROR"))</f>
        <v/>
      </c>
      <c r="D496" s="18"/>
      <c r="E496" s="5"/>
      <c r="F496" s="19"/>
      <c r="G496" s="20" t="str">
        <f t="shared" si="14"/>
        <v/>
      </c>
      <c r="H496" s="18"/>
      <c r="I496" s="5"/>
      <c r="J496" s="21" t="str">
        <f t="shared" si="15"/>
        <v/>
      </c>
      <c r="K496" s="17" t="str">
        <f>IF(I496="","",MATCH($I496,Settings!$F$5:$F$46,0))</f>
        <v/>
      </c>
      <c r="L496" s="18"/>
    </row>
    <row r="497" spans="2:12" x14ac:dyDescent="0.25">
      <c r="B497" s="16"/>
      <c r="C497" s="17" t="str">
        <f>IF(B497="","",IF(AND($B497&gt;=Settings!$C$10,$B497&lt;=Settings!$C$11),"OK","ERROR"))</f>
        <v/>
      </c>
      <c r="D497" s="18"/>
      <c r="E497" s="5"/>
      <c r="F497" s="19"/>
      <c r="G497" s="20" t="str">
        <f t="shared" si="14"/>
        <v/>
      </c>
      <c r="H497" s="18"/>
      <c r="I497" s="5"/>
      <c r="J497" s="21" t="str">
        <f t="shared" si="15"/>
        <v/>
      </c>
      <c r="K497" s="17" t="str">
        <f>IF(I497="","",MATCH($I497,Settings!$F$5:$F$46,0))</f>
        <v/>
      </c>
      <c r="L497" s="18"/>
    </row>
    <row r="498" spans="2:12" x14ac:dyDescent="0.25">
      <c r="B498" s="16"/>
      <c r="C498" s="17" t="str">
        <f>IF(B498="","",IF(AND($B498&gt;=Settings!$C$10,$B498&lt;=Settings!$C$11),"OK","ERROR"))</f>
        <v/>
      </c>
      <c r="D498" s="18"/>
      <c r="E498" s="5"/>
      <c r="F498" s="19"/>
      <c r="G498" s="20" t="str">
        <f t="shared" si="14"/>
        <v/>
      </c>
      <c r="H498" s="18"/>
      <c r="I498" s="5"/>
      <c r="J498" s="21" t="str">
        <f t="shared" si="15"/>
        <v/>
      </c>
      <c r="K498" s="17" t="str">
        <f>IF(I498="","",MATCH($I498,Settings!$F$5:$F$46,0))</f>
        <v/>
      </c>
      <c r="L498" s="18"/>
    </row>
    <row r="499" spans="2:12" x14ac:dyDescent="0.25">
      <c r="B499" s="16"/>
      <c r="C499" s="17" t="str">
        <f>IF(B499="","",IF(AND($B499&gt;=Settings!$C$10,$B499&lt;=Settings!$C$11),"OK","ERROR"))</f>
        <v/>
      </c>
      <c r="D499" s="18"/>
      <c r="E499" s="5"/>
      <c r="F499" s="19"/>
      <c r="G499" s="20" t="str">
        <f t="shared" si="14"/>
        <v/>
      </c>
      <c r="H499" s="18"/>
      <c r="I499" s="5"/>
      <c r="J499" s="21" t="str">
        <f t="shared" si="15"/>
        <v/>
      </c>
      <c r="K499" s="17" t="str">
        <f>IF(I499="","",MATCH($I499,Settings!$F$5:$F$46,0))</f>
        <v/>
      </c>
      <c r="L499" s="18"/>
    </row>
    <row r="500" spans="2:12" x14ac:dyDescent="0.25">
      <c r="B500" s="16"/>
      <c r="C500" s="17" t="str">
        <f>IF(B500="","",IF(AND($B500&gt;=Settings!$C$10,$B500&lt;=Settings!$C$11),"OK","ERROR"))</f>
        <v/>
      </c>
      <c r="D500" s="18"/>
      <c r="E500" s="5"/>
      <c r="F500" s="19"/>
      <c r="G500" s="20" t="str">
        <f t="shared" si="14"/>
        <v/>
      </c>
      <c r="H500" s="18"/>
      <c r="I500" s="5"/>
      <c r="J500" s="21" t="str">
        <f t="shared" si="15"/>
        <v/>
      </c>
      <c r="K500" s="17" t="str">
        <f>IF(I500="","",MATCH($I500,Settings!$F$5:$F$46,0))</f>
        <v/>
      </c>
      <c r="L500" s="18"/>
    </row>
    <row r="501" spans="2:12" x14ac:dyDescent="0.25">
      <c r="B501" s="16"/>
      <c r="C501" s="17" t="str">
        <f>IF(B501="","",IF(AND($B501&gt;=Settings!$C$10,$B501&lt;=Settings!$C$11),"OK","ERROR"))</f>
        <v/>
      </c>
      <c r="D501" s="18"/>
      <c r="E501" s="5"/>
      <c r="F501" s="19"/>
      <c r="G501" s="20" t="str">
        <f t="shared" si="14"/>
        <v/>
      </c>
      <c r="H501" s="18"/>
      <c r="I501" s="5"/>
      <c r="J501" s="21" t="str">
        <f t="shared" si="15"/>
        <v/>
      </c>
      <c r="K501" s="17" t="str">
        <f>IF(I501="","",MATCH($I501,Settings!$F$5:$F$46,0))</f>
        <v/>
      </c>
      <c r="L501" s="18"/>
    </row>
    <row r="502" spans="2:12" x14ac:dyDescent="0.25">
      <c r="B502" s="16"/>
      <c r="C502" s="17" t="str">
        <f>IF(B502="","",IF(AND($B502&gt;=Settings!$C$10,$B502&lt;=Settings!$C$11),"OK","ERROR"))</f>
        <v/>
      </c>
      <c r="D502" s="18"/>
      <c r="E502" s="5"/>
      <c r="F502" s="19"/>
      <c r="G502" s="20" t="str">
        <f t="shared" si="14"/>
        <v/>
      </c>
      <c r="H502" s="18"/>
      <c r="I502" s="5"/>
      <c r="J502" s="21" t="str">
        <f t="shared" si="15"/>
        <v/>
      </c>
      <c r="K502" s="17" t="str">
        <f>IF(I502="","",MATCH($I502,Settings!$F$5:$F$46,0))</f>
        <v/>
      </c>
      <c r="L502" s="18"/>
    </row>
    <row r="503" spans="2:12" x14ac:dyDescent="0.25">
      <c r="B503" s="16"/>
      <c r="C503" s="17" t="str">
        <f>IF(B503="","",IF(AND($B503&gt;=Settings!$C$10,$B503&lt;=Settings!$C$11),"OK","ERROR"))</f>
        <v/>
      </c>
      <c r="D503" s="18"/>
      <c r="E503" s="5"/>
      <c r="F503" s="19"/>
      <c r="G503" s="20" t="str">
        <f t="shared" si="14"/>
        <v/>
      </c>
      <c r="H503" s="18"/>
      <c r="I503" s="5"/>
      <c r="J503" s="21" t="str">
        <f t="shared" si="15"/>
        <v/>
      </c>
      <c r="K503" s="17" t="str">
        <f>IF(I503="","",MATCH($I503,Settings!$F$5:$F$46,0))</f>
        <v/>
      </c>
      <c r="L503" s="18"/>
    </row>
    <row r="504" spans="2:12" x14ac:dyDescent="0.25">
      <c r="B504" s="16"/>
      <c r="C504" s="17" t="str">
        <f>IF(B504="","",IF(AND($B504&gt;=Settings!$C$10,$B504&lt;=Settings!$C$11),"OK","ERROR"))</f>
        <v/>
      </c>
      <c r="D504" s="18"/>
      <c r="E504" s="5"/>
      <c r="F504" s="19"/>
      <c r="G504" s="20" t="str">
        <f t="shared" si="14"/>
        <v/>
      </c>
      <c r="H504" s="18"/>
      <c r="I504" s="5"/>
      <c r="J504" s="21" t="str">
        <f t="shared" si="15"/>
        <v/>
      </c>
      <c r="K504" s="17" t="str">
        <f>IF(I504="","",MATCH($I504,Settings!$F$5:$F$46,0))</f>
        <v/>
      </c>
      <c r="L504" s="18"/>
    </row>
    <row r="505" spans="2:12" x14ac:dyDescent="0.25">
      <c r="B505" s="16"/>
      <c r="C505" s="17" t="str">
        <f>IF(B505="","",IF(AND($B505&gt;=Settings!$C$10,$B505&lt;=Settings!$C$11),"OK","ERROR"))</f>
        <v/>
      </c>
      <c r="D505" s="18"/>
      <c r="E505" s="5"/>
      <c r="F505" s="19"/>
      <c r="G505" s="20" t="str">
        <f t="shared" si="14"/>
        <v/>
      </c>
      <c r="H505" s="18"/>
      <c r="I505" s="5"/>
      <c r="J505" s="21" t="str">
        <f t="shared" si="15"/>
        <v/>
      </c>
      <c r="K505" s="17" t="str">
        <f>IF(I505="","",MATCH($I505,Settings!$F$5:$F$46,0))</f>
        <v/>
      </c>
      <c r="L505" s="18"/>
    </row>
    <row r="506" spans="2:12" x14ac:dyDescent="0.25">
      <c r="B506" s="16"/>
      <c r="C506" s="17" t="str">
        <f>IF(B506="","",IF(AND($B506&gt;=Settings!$C$10,$B506&lt;=Settings!$C$11),"OK","ERROR"))</f>
        <v/>
      </c>
      <c r="D506" s="18"/>
      <c r="E506" s="5"/>
      <c r="F506" s="19"/>
      <c r="G506" s="20" t="str">
        <f t="shared" si="14"/>
        <v/>
      </c>
      <c r="H506" s="18"/>
      <c r="I506" s="5"/>
      <c r="J506" s="21" t="str">
        <f t="shared" si="15"/>
        <v/>
      </c>
      <c r="K506" s="17" t="str">
        <f>IF(I506="","",MATCH($I506,Settings!$F$5:$F$46,0))</f>
        <v/>
      </c>
      <c r="L506" s="18"/>
    </row>
    <row r="507" spans="2:12" x14ac:dyDescent="0.25">
      <c r="B507" s="16"/>
      <c r="C507" s="17" t="str">
        <f>IF(B507="","",IF(AND($B507&gt;=Settings!$C$10,$B507&lt;=Settings!$C$11),"OK","ERROR"))</f>
        <v/>
      </c>
      <c r="D507" s="18"/>
      <c r="E507" s="5"/>
      <c r="F507" s="19"/>
      <c r="G507" s="20" t="str">
        <f t="shared" si="14"/>
        <v/>
      </c>
      <c r="H507" s="18"/>
      <c r="I507" s="5"/>
      <c r="J507" s="21" t="str">
        <f t="shared" si="15"/>
        <v/>
      </c>
      <c r="K507" s="17" t="str">
        <f>IF(I507="","",MATCH($I507,Settings!$F$5:$F$46,0))</f>
        <v/>
      </c>
      <c r="L507" s="18"/>
    </row>
    <row r="508" spans="2:12" x14ac:dyDescent="0.25">
      <c r="B508" s="16"/>
      <c r="C508" s="17" t="str">
        <f>IF(B508="","",IF(AND($B508&gt;=Settings!$C$10,$B508&lt;=Settings!$C$11),"OK","ERROR"))</f>
        <v/>
      </c>
      <c r="D508" s="18"/>
      <c r="E508" s="5"/>
      <c r="F508" s="19"/>
      <c r="G508" s="20" t="str">
        <f t="shared" si="14"/>
        <v/>
      </c>
      <c r="H508" s="18"/>
      <c r="I508" s="5"/>
      <c r="J508" s="21" t="str">
        <f t="shared" si="15"/>
        <v/>
      </c>
      <c r="K508" s="17" t="str">
        <f>IF(I508="","",MATCH($I508,Settings!$F$5:$F$46,0))</f>
        <v/>
      </c>
      <c r="L508" s="18"/>
    </row>
    <row r="509" spans="2:12" x14ac:dyDescent="0.25">
      <c r="B509" s="16"/>
      <c r="C509" s="17" t="str">
        <f>IF(B509="","",IF(AND($B509&gt;=Settings!$C$10,$B509&lt;=Settings!$C$11),"OK","ERROR"))</f>
        <v/>
      </c>
      <c r="D509" s="18"/>
      <c r="E509" s="5"/>
      <c r="F509" s="19"/>
      <c r="G509" s="20" t="str">
        <f t="shared" si="14"/>
        <v/>
      </c>
      <c r="H509" s="18"/>
      <c r="I509" s="5"/>
      <c r="J509" s="21" t="str">
        <f t="shared" si="15"/>
        <v/>
      </c>
      <c r="K509" s="17" t="str">
        <f>IF(I509="","",MATCH($I509,Settings!$F$5:$F$46,0))</f>
        <v/>
      </c>
      <c r="L509" s="18"/>
    </row>
    <row r="510" spans="2:12" x14ac:dyDescent="0.25">
      <c r="B510" s="16"/>
      <c r="C510" s="17" t="str">
        <f>IF(B510="","",IF(AND($B510&gt;=Settings!$C$10,$B510&lt;=Settings!$C$11),"OK","ERROR"))</f>
        <v/>
      </c>
      <c r="D510" s="18"/>
      <c r="E510" s="5"/>
      <c r="F510" s="19"/>
      <c r="G510" s="20" t="str">
        <f t="shared" si="14"/>
        <v/>
      </c>
      <c r="H510" s="18"/>
      <c r="I510" s="5"/>
      <c r="J510" s="21" t="str">
        <f t="shared" si="15"/>
        <v/>
      </c>
      <c r="K510" s="17" t="str">
        <f>IF(I510="","",MATCH($I510,Settings!$F$5:$F$46,0))</f>
        <v/>
      </c>
      <c r="L510" s="18"/>
    </row>
    <row r="511" spans="2:12" x14ac:dyDescent="0.25">
      <c r="B511" s="16"/>
      <c r="C511" s="17" t="str">
        <f>IF(B511="","",IF(AND($B511&gt;=Settings!$C$10,$B511&lt;=Settings!$C$11),"OK","ERROR"))</f>
        <v/>
      </c>
      <c r="D511" s="18"/>
      <c r="E511" s="5"/>
      <c r="F511" s="19"/>
      <c r="G511" s="20" t="str">
        <f t="shared" si="14"/>
        <v/>
      </c>
      <c r="H511" s="18"/>
      <c r="I511" s="5"/>
      <c r="J511" s="21" t="str">
        <f t="shared" si="15"/>
        <v/>
      </c>
      <c r="K511" s="17" t="str">
        <f>IF(I511="","",MATCH($I511,Settings!$F$5:$F$46,0))</f>
        <v/>
      </c>
      <c r="L511" s="18"/>
    </row>
    <row r="512" spans="2:12" x14ac:dyDescent="0.25">
      <c r="B512" s="16"/>
      <c r="C512" s="17" t="str">
        <f>IF(B512="","",IF(AND($B512&gt;=Settings!$C$10,$B512&lt;=Settings!$C$11),"OK","ERROR"))</f>
        <v/>
      </c>
      <c r="D512" s="18"/>
      <c r="E512" s="5"/>
      <c r="F512" s="19"/>
      <c r="G512" s="20" t="str">
        <f t="shared" si="14"/>
        <v/>
      </c>
      <c r="H512" s="18"/>
      <c r="I512" s="5"/>
      <c r="J512" s="21" t="str">
        <f t="shared" si="15"/>
        <v/>
      </c>
      <c r="K512" s="17" t="str">
        <f>IF(I512="","",MATCH($I512,Settings!$F$5:$F$46,0))</f>
        <v/>
      </c>
      <c r="L512" s="18"/>
    </row>
    <row r="513" spans="2:12" x14ac:dyDescent="0.25">
      <c r="B513" s="16"/>
      <c r="C513" s="17" t="str">
        <f>IF(B513="","",IF(AND($B513&gt;=Settings!$C$10,$B513&lt;=Settings!$C$11),"OK","ERROR"))</f>
        <v/>
      </c>
      <c r="D513" s="18"/>
      <c r="E513" s="5"/>
      <c r="F513" s="19"/>
      <c r="G513" s="20" t="str">
        <f t="shared" si="14"/>
        <v/>
      </c>
      <c r="H513" s="18"/>
      <c r="I513" s="5"/>
      <c r="J513" s="21" t="str">
        <f t="shared" si="15"/>
        <v/>
      </c>
      <c r="K513" s="17" t="str">
        <f>IF(I513="","",MATCH($I513,Settings!$F$5:$F$46,0))</f>
        <v/>
      </c>
      <c r="L513" s="18"/>
    </row>
    <row r="514" spans="2:12" x14ac:dyDescent="0.25">
      <c r="B514" s="16"/>
      <c r="C514" s="17" t="str">
        <f>IF(B514="","",IF(AND($B514&gt;=Settings!$C$10,$B514&lt;=Settings!$C$11),"OK","ERROR"))</f>
        <v/>
      </c>
      <c r="D514" s="18"/>
      <c r="E514" s="5"/>
      <c r="F514" s="19"/>
      <c r="G514" s="20" t="str">
        <f t="shared" si="14"/>
        <v/>
      </c>
      <c r="H514" s="18"/>
      <c r="I514" s="5"/>
      <c r="J514" s="21" t="str">
        <f t="shared" si="15"/>
        <v/>
      </c>
      <c r="K514" s="17" t="str">
        <f>IF(I514="","",MATCH($I514,Settings!$F$5:$F$46,0))</f>
        <v/>
      </c>
      <c r="L514" s="18"/>
    </row>
    <row r="515" spans="2:12" x14ac:dyDescent="0.25">
      <c r="B515" s="16"/>
      <c r="C515" s="17" t="str">
        <f>IF(B515="","",IF(AND($B515&gt;=Settings!$C$10,$B515&lt;=Settings!$C$11),"OK","ERROR"))</f>
        <v/>
      </c>
      <c r="D515" s="18"/>
      <c r="E515" s="5"/>
      <c r="F515" s="19"/>
      <c r="G515" s="20" t="str">
        <f t="shared" si="14"/>
        <v/>
      </c>
      <c r="H515" s="18"/>
      <c r="I515" s="5"/>
      <c r="J515" s="21" t="str">
        <f t="shared" si="15"/>
        <v/>
      </c>
      <c r="K515" s="17" t="str">
        <f>IF(I515="","",MATCH($I515,Settings!$F$5:$F$46,0))</f>
        <v/>
      </c>
      <c r="L515" s="18"/>
    </row>
    <row r="516" spans="2:12" x14ac:dyDescent="0.25">
      <c r="B516" s="16"/>
      <c r="C516" s="17" t="str">
        <f>IF(B516="","",IF(AND($B516&gt;=Settings!$C$10,$B516&lt;=Settings!$C$11),"OK","ERROR"))</f>
        <v/>
      </c>
      <c r="D516" s="18"/>
      <c r="E516" s="5"/>
      <c r="F516" s="19"/>
      <c r="G516" s="20" t="str">
        <f t="shared" si="14"/>
        <v/>
      </c>
      <c r="H516" s="18"/>
      <c r="I516" s="5"/>
      <c r="J516" s="21" t="str">
        <f t="shared" si="15"/>
        <v/>
      </c>
      <c r="K516" s="17" t="str">
        <f>IF(I516="","",MATCH($I516,Settings!$F$5:$F$46,0))</f>
        <v/>
      </c>
      <c r="L516" s="18"/>
    </row>
    <row r="517" spans="2:12" x14ac:dyDescent="0.25">
      <c r="B517" s="16"/>
      <c r="C517" s="17" t="str">
        <f>IF(B517="","",IF(AND($B517&gt;=Settings!$C$10,$B517&lt;=Settings!$C$11),"OK","ERROR"))</f>
        <v/>
      </c>
      <c r="D517" s="18"/>
      <c r="E517" s="5"/>
      <c r="F517" s="19"/>
      <c r="G517" s="20" t="str">
        <f t="shared" si="14"/>
        <v/>
      </c>
      <c r="H517" s="18"/>
      <c r="I517" s="5"/>
      <c r="J517" s="21" t="str">
        <f t="shared" si="15"/>
        <v/>
      </c>
      <c r="K517" s="17" t="str">
        <f>IF(I517="","",MATCH($I517,Settings!$F$5:$F$46,0))</f>
        <v/>
      </c>
      <c r="L517" s="18"/>
    </row>
    <row r="518" spans="2:12" x14ac:dyDescent="0.25">
      <c r="B518" s="16"/>
      <c r="C518" s="17" t="str">
        <f>IF(B518="","",IF(AND($B518&gt;=Settings!$C$10,$B518&lt;=Settings!$C$11),"OK","ERROR"))</f>
        <v/>
      </c>
      <c r="D518" s="18"/>
      <c r="E518" s="5"/>
      <c r="F518" s="19"/>
      <c r="G518" s="20" t="str">
        <f t="shared" ref="G518:G581" si="16">IF(F518="","",IF(I518&lt;&gt;"","OK","ERROR"))</f>
        <v/>
      </c>
      <c r="H518" s="18"/>
      <c r="I518" s="5"/>
      <c r="J518" s="21" t="str">
        <f t="shared" si="15"/>
        <v/>
      </c>
      <c r="K518" s="17" t="str">
        <f>IF(I518="","",MATCH($I518,Settings!$F$5:$F$46,0))</f>
        <v/>
      </c>
      <c r="L518" s="18"/>
    </row>
    <row r="519" spans="2:12" x14ac:dyDescent="0.25">
      <c r="B519" s="16"/>
      <c r="C519" s="17" t="str">
        <f>IF(B519="","",IF(AND($B519&gt;=Settings!$C$10,$B519&lt;=Settings!$C$11),"OK","ERROR"))</f>
        <v/>
      </c>
      <c r="D519" s="18"/>
      <c r="E519" s="5"/>
      <c r="F519" s="19"/>
      <c r="G519" s="20" t="str">
        <f t="shared" si="16"/>
        <v/>
      </c>
      <c r="H519" s="18"/>
      <c r="I519" s="5"/>
      <c r="J519" s="21" t="str">
        <f t="shared" ref="J519:J582" si="17">IF(I519="","",IF(ISERROR($K519)=TRUE,"ERROR","OK"))</f>
        <v/>
      </c>
      <c r="K519" s="17" t="str">
        <f>IF(I519="","",MATCH($I519,Settings!$F$5:$F$46,0))</f>
        <v/>
      </c>
      <c r="L519" s="18"/>
    </row>
    <row r="520" spans="2:12" x14ac:dyDescent="0.25">
      <c r="B520" s="16"/>
      <c r="C520" s="17" t="str">
        <f>IF(B520="","",IF(AND($B520&gt;=Settings!$C$10,$B520&lt;=Settings!$C$11),"OK","ERROR"))</f>
        <v/>
      </c>
      <c r="D520" s="18"/>
      <c r="E520" s="5"/>
      <c r="F520" s="19"/>
      <c r="G520" s="20" t="str">
        <f t="shared" si="16"/>
        <v/>
      </c>
      <c r="H520" s="18"/>
      <c r="I520" s="5"/>
      <c r="J520" s="21" t="str">
        <f t="shared" si="17"/>
        <v/>
      </c>
      <c r="K520" s="17" t="str">
        <f>IF(I520="","",MATCH($I520,Settings!$F$5:$F$46,0))</f>
        <v/>
      </c>
      <c r="L520" s="18"/>
    </row>
    <row r="521" spans="2:12" x14ac:dyDescent="0.25">
      <c r="B521" s="16"/>
      <c r="C521" s="17" t="str">
        <f>IF(B521="","",IF(AND($B521&gt;=Settings!$C$10,$B521&lt;=Settings!$C$11),"OK","ERROR"))</f>
        <v/>
      </c>
      <c r="D521" s="18"/>
      <c r="E521" s="5"/>
      <c r="F521" s="19"/>
      <c r="G521" s="20" t="str">
        <f t="shared" si="16"/>
        <v/>
      </c>
      <c r="H521" s="18"/>
      <c r="I521" s="5"/>
      <c r="J521" s="21" t="str">
        <f t="shared" si="17"/>
        <v/>
      </c>
      <c r="K521" s="17" t="str">
        <f>IF(I521="","",MATCH($I521,Settings!$F$5:$F$46,0))</f>
        <v/>
      </c>
      <c r="L521" s="18"/>
    </row>
    <row r="522" spans="2:12" x14ac:dyDescent="0.25">
      <c r="B522" s="16"/>
      <c r="C522" s="17" t="str">
        <f>IF(B522="","",IF(AND($B522&gt;=Settings!$C$10,$B522&lt;=Settings!$C$11),"OK","ERROR"))</f>
        <v/>
      </c>
      <c r="D522" s="18"/>
      <c r="E522" s="5"/>
      <c r="F522" s="19"/>
      <c r="G522" s="20" t="str">
        <f t="shared" si="16"/>
        <v/>
      </c>
      <c r="H522" s="18"/>
      <c r="I522" s="5"/>
      <c r="J522" s="21" t="str">
        <f t="shared" si="17"/>
        <v/>
      </c>
      <c r="K522" s="17" t="str">
        <f>IF(I522="","",MATCH($I522,Settings!$F$5:$F$46,0))</f>
        <v/>
      </c>
      <c r="L522" s="18"/>
    </row>
    <row r="523" spans="2:12" x14ac:dyDescent="0.25">
      <c r="B523" s="16"/>
      <c r="C523" s="17" t="str">
        <f>IF(B523="","",IF(AND($B523&gt;=Settings!$C$10,$B523&lt;=Settings!$C$11),"OK","ERROR"))</f>
        <v/>
      </c>
      <c r="D523" s="18"/>
      <c r="E523" s="5"/>
      <c r="F523" s="19"/>
      <c r="G523" s="20" t="str">
        <f t="shared" si="16"/>
        <v/>
      </c>
      <c r="H523" s="18"/>
      <c r="I523" s="5"/>
      <c r="J523" s="21" t="str">
        <f t="shared" si="17"/>
        <v/>
      </c>
      <c r="K523" s="17" t="str">
        <f>IF(I523="","",MATCH($I523,Settings!$F$5:$F$46,0))</f>
        <v/>
      </c>
      <c r="L523" s="18"/>
    </row>
    <row r="524" spans="2:12" x14ac:dyDescent="0.25">
      <c r="B524" s="16"/>
      <c r="C524" s="17" t="str">
        <f>IF(B524="","",IF(AND($B524&gt;=Settings!$C$10,$B524&lt;=Settings!$C$11),"OK","ERROR"))</f>
        <v/>
      </c>
      <c r="D524" s="18"/>
      <c r="E524" s="5"/>
      <c r="F524" s="19"/>
      <c r="G524" s="20" t="str">
        <f t="shared" si="16"/>
        <v/>
      </c>
      <c r="H524" s="18"/>
      <c r="I524" s="5"/>
      <c r="J524" s="21" t="str">
        <f t="shared" si="17"/>
        <v/>
      </c>
      <c r="K524" s="17" t="str">
        <f>IF(I524="","",MATCH($I524,Settings!$F$5:$F$46,0))</f>
        <v/>
      </c>
      <c r="L524" s="18"/>
    </row>
    <row r="525" spans="2:12" x14ac:dyDescent="0.25">
      <c r="B525" s="16"/>
      <c r="C525" s="17" t="str">
        <f>IF(B525="","",IF(AND($B525&gt;=Settings!$C$10,$B525&lt;=Settings!$C$11),"OK","ERROR"))</f>
        <v/>
      </c>
      <c r="D525" s="18"/>
      <c r="E525" s="5"/>
      <c r="F525" s="19"/>
      <c r="G525" s="20" t="str">
        <f t="shared" si="16"/>
        <v/>
      </c>
      <c r="H525" s="18"/>
      <c r="I525" s="5"/>
      <c r="J525" s="21" t="str">
        <f t="shared" si="17"/>
        <v/>
      </c>
      <c r="K525" s="17" t="str">
        <f>IF(I525="","",MATCH($I525,Settings!$F$5:$F$46,0))</f>
        <v/>
      </c>
      <c r="L525" s="18"/>
    </row>
    <row r="526" spans="2:12" x14ac:dyDescent="0.25">
      <c r="B526" s="16"/>
      <c r="C526" s="17" t="str">
        <f>IF(B526="","",IF(AND($B526&gt;=Settings!$C$10,$B526&lt;=Settings!$C$11),"OK","ERROR"))</f>
        <v/>
      </c>
      <c r="D526" s="18"/>
      <c r="E526" s="5"/>
      <c r="F526" s="19"/>
      <c r="G526" s="20" t="str">
        <f t="shared" si="16"/>
        <v/>
      </c>
      <c r="H526" s="18"/>
      <c r="I526" s="5"/>
      <c r="J526" s="21" t="str">
        <f t="shared" si="17"/>
        <v/>
      </c>
      <c r="K526" s="17" t="str">
        <f>IF(I526="","",MATCH($I526,Settings!$F$5:$F$46,0))</f>
        <v/>
      </c>
      <c r="L526" s="18"/>
    </row>
    <row r="527" spans="2:12" x14ac:dyDescent="0.25">
      <c r="B527" s="16"/>
      <c r="C527" s="17" t="str">
        <f>IF(B527="","",IF(AND($B527&gt;=Settings!$C$10,$B527&lt;=Settings!$C$11),"OK","ERROR"))</f>
        <v/>
      </c>
      <c r="D527" s="18"/>
      <c r="E527" s="5"/>
      <c r="F527" s="19"/>
      <c r="G527" s="20" t="str">
        <f t="shared" si="16"/>
        <v/>
      </c>
      <c r="H527" s="18"/>
      <c r="I527" s="5"/>
      <c r="J527" s="21" t="str">
        <f t="shared" si="17"/>
        <v/>
      </c>
      <c r="K527" s="17" t="str">
        <f>IF(I527="","",MATCH($I527,Settings!$F$5:$F$46,0))</f>
        <v/>
      </c>
      <c r="L527" s="18"/>
    </row>
    <row r="528" spans="2:12" x14ac:dyDescent="0.25">
      <c r="B528" s="16"/>
      <c r="C528" s="17" t="str">
        <f>IF(B528="","",IF(AND($B528&gt;=Settings!$C$10,$B528&lt;=Settings!$C$11),"OK","ERROR"))</f>
        <v/>
      </c>
      <c r="D528" s="18"/>
      <c r="E528" s="5"/>
      <c r="F528" s="19"/>
      <c r="G528" s="20" t="str">
        <f t="shared" si="16"/>
        <v/>
      </c>
      <c r="H528" s="18"/>
      <c r="I528" s="5"/>
      <c r="J528" s="21" t="str">
        <f t="shared" si="17"/>
        <v/>
      </c>
      <c r="K528" s="17" t="str">
        <f>IF(I528="","",MATCH($I528,Settings!$F$5:$F$46,0))</f>
        <v/>
      </c>
      <c r="L528" s="18"/>
    </row>
    <row r="529" spans="2:12" x14ac:dyDescent="0.25">
      <c r="B529" s="16"/>
      <c r="C529" s="17" t="str">
        <f>IF(B529="","",IF(AND($B529&gt;=Settings!$C$10,$B529&lt;=Settings!$C$11),"OK","ERROR"))</f>
        <v/>
      </c>
      <c r="D529" s="18"/>
      <c r="E529" s="5"/>
      <c r="F529" s="19"/>
      <c r="G529" s="20" t="str">
        <f t="shared" si="16"/>
        <v/>
      </c>
      <c r="H529" s="18"/>
      <c r="I529" s="5"/>
      <c r="J529" s="21" t="str">
        <f t="shared" si="17"/>
        <v/>
      </c>
      <c r="K529" s="17" t="str">
        <f>IF(I529="","",MATCH($I529,Settings!$F$5:$F$46,0))</f>
        <v/>
      </c>
      <c r="L529" s="18"/>
    </row>
    <row r="530" spans="2:12" x14ac:dyDescent="0.25">
      <c r="B530" s="16"/>
      <c r="C530" s="17" t="str">
        <f>IF(B530="","",IF(AND($B530&gt;=Settings!$C$10,$B530&lt;=Settings!$C$11),"OK","ERROR"))</f>
        <v/>
      </c>
      <c r="D530" s="18"/>
      <c r="E530" s="5"/>
      <c r="F530" s="19"/>
      <c r="G530" s="20" t="str">
        <f t="shared" si="16"/>
        <v/>
      </c>
      <c r="H530" s="18"/>
      <c r="I530" s="5"/>
      <c r="J530" s="21" t="str">
        <f t="shared" si="17"/>
        <v/>
      </c>
      <c r="K530" s="17" t="str">
        <f>IF(I530="","",MATCH($I530,Settings!$F$5:$F$46,0))</f>
        <v/>
      </c>
      <c r="L530" s="18"/>
    </row>
    <row r="531" spans="2:12" x14ac:dyDescent="0.25">
      <c r="B531" s="16"/>
      <c r="C531" s="17" t="str">
        <f>IF(B531="","",IF(AND($B531&gt;=Settings!$C$10,$B531&lt;=Settings!$C$11),"OK","ERROR"))</f>
        <v/>
      </c>
      <c r="D531" s="18"/>
      <c r="E531" s="5"/>
      <c r="F531" s="19"/>
      <c r="G531" s="20" t="str">
        <f t="shared" si="16"/>
        <v/>
      </c>
      <c r="H531" s="18"/>
      <c r="I531" s="5"/>
      <c r="J531" s="21" t="str">
        <f t="shared" si="17"/>
        <v/>
      </c>
      <c r="K531" s="17" t="str">
        <f>IF(I531="","",MATCH($I531,Settings!$F$5:$F$46,0))</f>
        <v/>
      </c>
      <c r="L531" s="18"/>
    </row>
    <row r="532" spans="2:12" x14ac:dyDescent="0.25">
      <c r="B532" s="16"/>
      <c r="C532" s="17" t="str">
        <f>IF(B532="","",IF(AND($B532&gt;=Settings!$C$10,$B532&lt;=Settings!$C$11),"OK","ERROR"))</f>
        <v/>
      </c>
      <c r="D532" s="18"/>
      <c r="E532" s="5"/>
      <c r="F532" s="19"/>
      <c r="G532" s="20" t="str">
        <f t="shared" si="16"/>
        <v/>
      </c>
      <c r="H532" s="18"/>
      <c r="I532" s="5"/>
      <c r="J532" s="21" t="str">
        <f t="shared" si="17"/>
        <v/>
      </c>
      <c r="K532" s="17" t="str">
        <f>IF(I532="","",MATCH($I532,Settings!$F$5:$F$46,0))</f>
        <v/>
      </c>
      <c r="L532" s="18"/>
    </row>
    <row r="533" spans="2:12" x14ac:dyDescent="0.25">
      <c r="B533" s="16"/>
      <c r="C533" s="17" t="str">
        <f>IF(B533="","",IF(AND($B533&gt;=Settings!$C$10,$B533&lt;=Settings!$C$11),"OK","ERROR"))</f>
        <v/>
      </c>
      <c r="D533" s="18"/>
      <c r="E533" s="5"/>
      <c r="F533" s="19"/>
      <c r="G533" s="20" t="str">
        <f t="shared" si="16"/>
        <v/>
      </c>
      <c r="H533" s="18"/>
      <c r="I533" s="5"/>
      <c r="J533" s="21" t="str">
        <f t="shared" si="17"/>
        <v/>
      </c>
      <c r="K533" s="17" t="str">
        <f>IF(I533="","",MATCH($I533,Settings!$F$5:$F$46,0))</f>
        <v/>
      </c>
      <c r="L533" s="18"/>
    </row>
    <row r="534" spans="2:12" x14ac:dyDescent="0.25">
      <c r="B534" s="16"/>
      <c r="C534" s="17" t="str">
        <f>IF(B534="","",IF(AND($B534&gt;=Settings!$C$10,$B534&lt;=Settings!$C$11),"OK","ERROR"))</f>
        <v/>
      </c>
      <c r="D534" s="18"/>
      <c r="E534" s="5"/>
      <c r="F534" s="19"/>
      <c r="G534" s="20" t="str">
        <f t="shared" si="16"/>
        <v/>
      </c>
      <c r="H534" s="18"/>
      <c r="I534" s="5"/>
      <c r="J534" s="21" t="str">
        <f t="shared" si="17"/>
        <v/>
      </c>
      <c r="K534" s="17" t="str">
        <f>IF(I534="","",MATCH($I534,Settings!$F$5:$F$46,0))</f>
        <v/>
      </c>
      <c r="L534" s="18"/>
    </row>
    <row r="535" spans="2:12" x14ac:dyDescent="0.25">
      <c r="B535" s="16"/>
      <c r="C535" s="17" t="str">
        <f>IF(B535="","",IF(AND($B535&gt;=Settings!$C$10,$B535&lt;=Settings!$C$11),"OK","ERROR"))</f>
        <v/>
      </c>
      <c r="D535" s="18"/>
      <c r="E535" s="5"/>
      <c r="F535" s="19"/>
      <c r="G535" s="20" t="str">
        <f t="shared" si="16"/>
        <v/>
      </c>
      <c r="H535" s="18"/>
      <c r="I535" s="5"/>
      <c r="J535" s="21" t="str">
        <f t="shared" si="17"/>
        <v/>
      </c>
      <c r="K535" s="17" t="str">
        <f>IF(I535="","",MATCH($I535,Settings!$F$5:$F$46,0))</f>
        <v/>
      </c>
      <c r="L535" s="18"/>
    </row>
    <row r="536" spans="2:12" x14ac:dyDescent="0.25">
      <c r="B536" s="16"/>
      <c r="C536" s="17" t="str">
        <f>IF(B536="","",IF(AND($B536&gt;=Settings!$C$10,$B536&lt;=Settings!$C$11),"OK","ERROR"))</f>
        <v/>
      </c>
      <c r="D536" s="18"/>
      <c r="E536" s="5"/>
      <c r="F536" s="19"/>
      <c r="G536" s="20" t="str">
        <f t="shared" si="16"/>
        <v/>
      </c>
      <c r="H536" s="18"/>
      <c r="I536" s="5"/>
      <c r="J536" s="21" t="str">
        <f t="shared" si="17"/>
        <v/>
      </c>
      <c r="K536" s="17" t="str">
        <f>IF(I536="","",MATCH($I536,Settings!$F$5:$F$46,0))</f>
        <v/>
      </c>
      <c r="L536" s="18"/>
    </row>
    <row r="537" spans="2:12" x14ac:dyDescent="0.25">
      <c r="B537" s="16"/>
      <c r="C537" s="17" t="str">
        <f>IF(B537="","",IF(AND($B537&gt;=Settings!$C$10,$B537&lt;=Settings!$C$11),"OK","ERROR"))</f>
        <v/>
      </c>
      <c r="D537" s="18"/>
      <c r="E537" s="5"/>
      <c r="F537" s="19"/>
      <c r="G537" s="20" t="str">
        <f t="shared" si="16"/>
        <v/>
      </c>
      <c r="H537" s="18"/>
      <c r="I537" s="5"/>
      <c r="J537" s="21" t="str">
        <f t="shared" si="17"/>
        <v/>
      </c>
      <c r="K537" s="17" t="str">
        <f>IF(I537="","",MATCH($I537,Settings!$F$5:$F$46,0))</f>
        <v/>
      </c>
      <c r="L537" s="18"/>
    </row>
    <row r="538" spans="2:12" x14ac:dyDescent="0.25">
      <c r="B538" s="16"/>
      <c r="C538" s="17" t="str">
        <f>IF(B538="","",IF(AND($B538&gt;=Settings!$C$10,$B538&lt;=Settings!$C$11),"OK","ERROR"))</f>
        <v/>
      </c>
      <c r="D538" s="18"/>
      <c r="E538" s="5"/>
      <c r="F538" s="19"/>
      <c r="G538" s="20" t="str">
        <f t="shared" si="16"/>
        <v/>
      </c>
      <c r="H538" s="18"/>
      <c r="I538" s="5"/>
      <c r="J538" s="21" t="str">
        <f t="shared" si="17"/>
        <v/>
      </c>
      <c r="K538" s="17" t="str">
        <f>IF(I538="","",MATCH($I538,Settings!$F$5:$F$46,0))</f>
        <v/>
      </c>
      <c r="L538" s="18"/>
    </row>
    <row r="539" spans="2:12" x14ac:dyDescent="0.25">
      <c r="B539" s="16"/>
      <c r="C539" s="17" t="str">
        <f>IF(B539="","",IF(AND($B539&gt;=Settings!$C$10,$B539&lt;=Settings!$C$11),"OK","ERROR"))</f>
        <v/>
      </c>
      <c r="D539" s="18"/>
      <c r="E539" s="5"/>
      <c r="F539" s="19"/>
      <c r="G539" s="20" t="str">
        <f t="shared" si="16"/>
        <v/>
      </c>
      <c r="H539" s="18"/>
      <c r="I539" s="5"/>
      <c r="J539" s="21" t="str">
        <f t="shared" si="17"/>
        <v/>
      </c>
      <c r="K539" s="17" t="str">
        <f>IF(I539="","",MATCH($I539,Settings!$F$5:$F$46,0))</f>
        <v/>
      </c>
      <c r="L539" s="18"/>
    </row>
    <row r="540" spans="2:12" x14ac:dyDescent="0.25">
      <c r="B540" s="16"/>
      <c r="C540" s="17" t="str">
        <f>IF(B540="","",IF(AND($B540&gt;=Settings!$C$10,$B540&lt;=Settings!$C$11),"OK","ERROR"))</f>
        <v/>
      </c>
      <c r="D540" s="18"/>
      <c r="E540" s="5"/>
      <c r="F540" s="19"/>
      <c r="G540" s="20" t="str">
        <f t="shared" si="16"/>
        <v/>
      </c>
      <c r="H540" s="18"/>
      <c r="I540" s="5"/>
      <c r="J540" s="21" t="str">
        <f t="shared" si="17"/>
        <v/>
      </c>
      <c r="K540" s="17" t="str">
        <f>IF(I540="","",MATCH($I540,Settings!$F$5:$F$46,0))</f>
        <v/>
      </c>
      <c r="L540" s="18"/>
    </row>
    <row r="541" spans="2:12" x14ac:dyDescent="0.25">
      <c r="B541" s="16"/>
      <c r="C541" s="17" t="str">
        <f>IF(B541="","",IF(AND($B541&gt;=Settings!$C$10,$B541&lt;=Settings!$C$11),"OK","ERROR"))</f>
        <v/>
      </c>
      <c r="D541" s="18"/>
      <c r="E541" s="5"/>
      <c r="F541" s="19"/>
      <c r="G541" s="20" t="str">
        <f t="shared" si="16"/>
        <v/>
      </c>
      <c r="H541" s="18"/>
      <c r="I541" s="5"/>
      <c r="J541" s="21" t="str">
        <f t="shared" si="17"/>
        <v/>
      </c>
      <c r="K541" s="17" t="str">
        <f>IF(I541="","",MATCH($I541,Settings!$F$5:$F$46,0))</f>
        <v/>
      </c>
      <c r="L541" s="18"/>
    </row>
    <row r="542" spans="2:12" x14ac:dyDescent="0.25">
      <c r="B542" s="16"/>
      <c r="C542" s="17" t="str">
        <f>IF(B542="","",IF(AND($B542&gt;=Settings!$C$10,$B542&lt;=Settings!$C$11),"OK","ERROR"))</f>
        <v/>
      </c>
      <c r="D542" s="18"/>
      <c r="E542" s="5"/>
      <c r="F542" s="19"/>
      <c r="G542" s="20" t="str">
        <f t="shared" si="16"/>
        <v/>
      </c>
      <c r="H542" s="18"/>
      <c r="I542" s="5"/>
      <c r="J542" s="21" t="str">
        <f t="shared" si="17"/>
        <v/>
      </c>
      <c r="K542" s="17" t="str">
        <f>IF(I542="","",MATCH($I542,Settings!$F$5:$F$46,0))</f>
        <v/>
      </c>
      <c r="L542" s="18"/>
    </row>
    <row r="543" spans="2:12" x14ac:dyDescent="0.25">
      <c r="B543" s="16"/>
      <c r="C543" s="17" t="str">
        <f>IF(B543="","",IF(AND($B543&gt;=Settings!$C$10,$B543&lt;=Settings!$C$11),"OK","ERROR"))</f>
        <v/>
      </c>
      <c r="D543" s="18"/>
      <c r="E543" s="5"/>
      <c r="F543" s="19"/>
      <c r="G543" s="20" t="str">
        <f t="shared" si="16"/>
        <v/>
      </c>
      <c r="H543" s="18"/>
      <c r="I543" s="5"/>
      <c r="J543" s="21" t="str">
        <f t="shared" si="17"/>
        <v/>
      </c>
      <c r="K543" s="17" t="str">
        <f>IF(I543="","",MATCH($I543,Settings!$F$5:$F$46,0))</f>
        <v/>
      </c>
      <c r="L543" s="18"/>
    </row>
    <row r="544" spans="2:12" x14ac:dyDescent="0.25">
      <c r="B544" s="16"/>
      <c r="C544" s="17" t="str">
        <f>IF(B544="","",IF(AND($B544&gt;=Settings!$C$10,$B544&lt;=Settings!$C$11),"OK","ERROR"))</f>
        <v/>
      </c>
      <c r="D544" s="18"/>
      <c r="E544" s="5"/>
      <c r="F544" s="19"/>
      <c r="G544" s="20" t="str">
        <f t="shared" si="16"/>
        <v/>
      </c>
      <c r="H544" s="18"/>
      <c r="I544" s="5"/>
      <c r="J544" s="21" t="str">
        <f t="shared" si="17"/>
        <v/>
      </c>
      <c r="K544" s="17" t="str">
        <f>IF(I544="","",MATCH($I544,Settings!$F$5:$F$46,0))</f>
        <v/>
      </c>
      <c r="L544" s="18"/>
    </row>
    <row r="545" spans="2:12" x14ac:dyDescent="0.25">
      <c r="B545" s="16"/>
      <c r="C545" s="17" t="str">
        <f>IF(B545="","",IF(AND($B545&gt;=Settings!$C$10,$B545&lt;=Settings!$C$11),"OK","ERROR"))</f>
        <v/>
      </c>
      <c r="D545" s="18"/>
      <c r="E545" s="5"/>
      <c r="F545" s="19"/>
      <c r="G545" s="20" t="str">
        <f t="shared" si="16"/>
        <v/>
      </c>
      <c r="H545" s="18"/>
      <c r="I545" s="5"/>
      <c r="J545" s="21" t="str">
        <f t="shared" si="17"/>
        <v/>
      </c>
      <c r="K545" s="17" t="str">
        <f>IF(I545="","",MATCH($I545,Settings!$F$5:$F$46,0))</f>
        <v/>
      </c>
      <c r="L545" s="18"/>
    </row>
    <row r="546" spans="2:12" x14ac:dyDescent="0.25">
      <c r="B546" s="16"/>
      <c r="C546" s="17" t="str">
        <f>IF(B546="","",IF(AND($B546&gt;=Settings!$C$10,$B546&lt;=Settings!$C$11),"OK","ERROR"))</f>
        <v/>
      </c>
      <c r="D546" s="18"/>
      <c r="E546" s="5"/>
      <c r="F546" s="19"/>
      <c r="G546" s="20" t="str">
        <f t="shared" si="16"/>
        <v/>
      </c>
      <c r="H546" s="18"/>
      <c r="I546" s="5"/>
      <c r="J546" s="21" t="str">
        <f t="shared" si="17"/>
        <v/>
      </c>
      <c r="K546" s="17" t="str">
        <f>IF(I546="","",MATCH($I546,Settings!$F$5:$F$46,0))</f>
        <v/>
      </c>
      <c r="L546" s="18"/>
    </row>
    <row r="547" spans="2:12" x14ac:dyDescent="0.25">
      <c r="B547" s="16"/>
      <c r="C547" s="17" t="str">
        <f>IF(B547="","",IF(AND($B547&gt;=Settings!$C$10,$B547&lt;=Settings!$C$11),"OK","ERROR"))</f>
        <v/>
      </c>
      <c r="D547" s="18"/>
      <c r="E547" s="5"/>
      <c r="F547" s="19"/>
      <c r="G547" s="20" t="str">
        <f t="shared" si="16"/>
        <v/>
      </c>
      <c r="H547" s="18"/>
      <c r="I547" s="5"/>
      <c r="J547" s="21" t="str">
        <f t="shared" si="17"/>
        <v/>
      </c>
      <c r="K547" s="17" t="str">
        <f>IF(I547="","",MATCH($I547,Settings!$F$5:$F$46,0))</f>
        <v/>
      </c>
      <c r="L547" s="18"/>
    </row>
    <row r="548" spans="2:12" x14ac:dyDescent="0.25">
      <c r="B548" s="16"/>
      <c r="C548" s="17" t="str">
        <f>IF(B548="","",IF(AND($B548&gt;=Settings!$C$10,$B548&lt;=Settings!$C$11),"OK","ERROR"))</f>
        <v/>
      </c>
      <c r="D548" s="18"/>
      <c r="E548" s="5"/>
      <c r="F548" s="19"/>
      <c r="G548" s="20" t="str">
        <f t="shared" si="16"/>
        <v/>
      </c>
      <c r="H548" s="18"/>
      <c r="I548" s="5"/>
      <c r="J548" s="21" t="str">
        <f t="shared" si="17"/>
        <v/>
      </c>
      <c r="K548" s="17" t="str">
        <f>IF(I548="","",MATCH($I548,Settings!$F$5:$F$46,0))</f>
        <v/>
      </c>
      <c r="L548" s="18"/>
    </row>
    <row r="549" spans="2:12" x14ac:dyDescent="0.25">
      <c r="B549" s="16"/>
      <c r="C549" s="17" t="str">
        <f>IF(B549="","",IF(AND($B549&gt;=Settings!$C$10,$B549&lt;=Settings!$C$11),"OK","ERROR"))</f>
        <v/>
      </c>
      <c r="D549" s="18"/>
      <c r="E549" s="5"/>
      <c r="F549" s="19"/>
      <c r="G549" s="20" t="str">
        <f t="shared" si="16"/>
        <v/>
      </c>
      <c r="H549" s="18"/>
      <c r="I549" s="5"/>
      <c r="J549" s="21" t="str">
        <f t="shared" si="17"/>
        <v/>
      </c>
      <c r="K549" s="17" t="str">
        <f>IF(I549="","",MATCH($I549,Settings!$F$5:$F$46,0))</f>
        <v/>
      </c>
      <c r="L549" s="18"/>
    </row>
    <row r="550" spans="2:12" x14ac:dyDescent="0.25">
      <c r="B550" s="16"/>
      <c r="C550" s="17" t="str">
        <f>IF(B550="","",IF(AND($B550&gt;=Settings!$C$10,$B550&lt;=Settings!$C$11),"OK","ERROR"))</f>
        <v/>
      </c>
      <c r="D550" s="18"/>
      <c r="E550" s="5"/>
      <c r="F550" s="19"/>
      <c r="G550" s="20" t="str">
        <f t="shared" si="16"/>
        <v/>
      </c>
      <c r="H550" s="18"/>
      <c r="I550" s="5"/>
      <c r="J550" s="21" t="str">
        <f t="shared" si="17"/>
        <v/>
      </c>
      <c r="K550" s="17" t="str">
        <f>IF(I550="","",MATCH($I550,Settings!$F$5:$F$46,0))</f>
        <v/>
      </c>
      <c r="L550" s="18"/>
    </row>
    <row r="551" spans="2:12" x14ac:dyDescent="0.25">
      <c r="B551" s="16"/>
      <c r="C551" s="17" t="str">
        <f>IF(B551="","",IF(AND($B551&gt;=Settings!$C$10,$B551&lt;=Settings!$C$11),"OK","ERROR"))</f>
        <v/>
      </c>
      <c r="D551" s="18"/>
      <c r="E551" s="5"/>
      <c r="F551" s="19"/>
      <c r="G551" s="20" t="str">
        <f t="shared" si="16"/>
        <v/>
      </c>
      <c r="H551" s="18"/>
      <c r="I551" s="5"/>
      <c r="J551" s="21" t="str">
        <f t="shared" si="17"/>
        <v/>
      </c>
      <c r="K551" s="17" t="str">
        <f>IF(I551="","",MATCH($I551,Settings!$F$5:$F$46,0))</f>
        <v/>
      </c>
      <c r="L551" s="18"/>
    </row>
    <row r="552" spans="2:12" x14ac:dyDescent="0.25">
      <c r="B552" s="16"/>
      <c r="C552" s="17" t="str">
        <f>IF(B552="","",IF(AND($B552&gt;=Settings!$C$10,$B552&lt;=Settings!$C$11),"OK","ERROR"))</f>
        <v/>
      </c>
      <c r="D552" s="18"/>
      <c r="E552" s="5"/>
      <c r="F552" s="19"/>
      <c r="G552" s="20" t="str">
        <f t="shared" si="16"/>
        <v/>
      </c>
      <c r="H552" s="18"/>
      <c r="I552" s="5"/>
      <c r="J552" s="21" t="str">
        <f t="shared" si="17"/>
        <v/>
      </c>
      <c r="K552" s="17" t="str">
        <f>IF(I552="","",MATCH($I552,Settings!$F$5:$F$46,0))</f>
        <v/>
      </c>
      <c r="L552" s="18"/>
    </row>
    <row r="553" spans="2:12" x14ac:dyDescent="0.25">
      <c r="B553" s="16"/>
      <c r="C553" s="17" t="str">
        <f>IF(B553="","",IF(AND($B553&gt;=Settings!$C$10,$B553&lt;=Settings!$C$11),"OK","ERROR"))</f>
        <v/>
      </c>
      <c r="D553" s="18"/>
      <c r="E553" s="5"/>
      <c r="F553" s="19"/>
      <c r="G553" s="20" t="str">
        <f t="shared" si="16"/>
        <v/>
      </c>
      <c r="H553" s="18"/>
      <c r="I553" s="5"/>
      <c r="J553" s="21" t="str">
        <f t="shared" si="17"/>
        <v/>
      </c>
      <c r="K553" s="17" t="str">
        <f>IF(I553="","",MATCH($I553,Settings!$F$5:$F$46,0))</f>
        <v/>
      </c>
      <c r="L553" s="18"/>
    </row>
    <row r="554" spans="2:12" x14ac:dyDescent="0.25">
      <c r="B554" s="16"/>
      <c r="C554" s="17" t="str">
        <f>IF(B554="","",IF(AND($B554&gt;=Settings!$C$10,$B554&lt;=Settings!$C$11),"OK","ERROR"))</f>
        <v/>
      </c>
      <c r="D554" s="18"/>
      <c r="E554" s="5"/>
      <c r="F554" s="19"/>
      <c r="G554" s="20" t="str">
        <f t="shared" si="16"/>
        <v/>
      </c>
      <c r="H554" s="18"/>
      <c r="I554" s="5"/>
      <c r="J554" s="21" t="str">
        <f t="shared" si="17"/>
        <v/>
      </c>
      <c r="K554" s="17" t="str">
        <f>IF(I554="","",MATCH($I554,Settings!$F$5:$F$46,0))</f>
        <v/>
      </c>
      <c r="L554" s="18"/>
    </row>
    <row r="555" spans="2:12" x14ac:dyDescent="0.25">
      <c r="B555" s="16"/>
      <c r="C555" s="17" t="str">
        <f>IF(B555="","",IF(AND($B555&gt;=Settings!$C$10,$B555&lt;=Settings!$C$11),"OK","ERROR"))</f>
        <v/>
      </c>
      <c r="D555" s="18"/>
      <c r="E555" s="5"/>
      <c r="F555" s="19"/>
      <c r="G555" s="20" t="str">
        <f t="shared" si="16"/>
        <v/>
      </c>
      <c r="H555" s="18"/>
      <c r="I555" s="5"/>
      <c r="J555" s="21" t="str">
        <f t="shared" si="17"/>
        <v/>
      </c>
      <c r="K555" s="17" t="str">
        <f>IF(I555="","",MATCH($I555,Settings!$F$5:$F$46,0))</f>
        <v/>
      </c>
      <c r="L555" s="18"/>
    </row>
    <row r="556" spans="2:12" x14ac:dyDescent="0.25">
      <c r="B556" s="16"/>
      <c r="C556" s="17" t="str">
        <f>IF(B556="","",IF(AND($B556&gt;=Settings!$C$10,$B556&lt;=Settings!$C$11),"OK","ERROR"))</f>
        <v/>
      </c>
      <c r="D556" s="18"/>
      <c r="E556" s="5"/>
      <c r="F556" s="19"/>
      <c r="G556" s="20" t="str">
        <f t="shared" si="16"/>
        <v/>
      </c>
      <c r="H556" s="18"/>
      <c r="I556" s="5"/>
      <c r="J556" s="21" t="str">
        <f t="shared" si="17"/>
        <v/>
      </c>
      <c r="K556" s="17" t="str">
        <f>IF(I556="","",MATCH($I556,Settings!$F$5:$F$46,0))</f>
        <v/>
      </c>
      <c r="L556" s="18"/>
    </row>
    <row r="557" spans="2:12" x14ac:dyDescent="0.25">
      <c r="B557" s="16"/>
      <c r="C557" s="17" t="str">
        <f>IF(B557="","",IF(AND($B557&gt;=Settings!$C$10,$B557&lt;=Settings!$C$11),"OK","ERROR"))</f>
        <v/>
      </c>
      <c r="D557" s="18"/>
      <c r="E557" s="5"/>
      <c r="F557" s="19"/>
      <c r="G557" s="20" t="str">
        <f t="shared" si="16"/>
        <v/>
      </c>
      <c r="H557" s="18"/>
      <c r="I557" s="5"/>
      <c r="J557" s="21" t="str">
        <f t="shared" si="17"/>
        <v/>
      </c>
      <c r="K557" s="17" t="str">
        <f>IF(I557="","",MATCH($I557,Settings!$F$5:$F$46,0))</f>
        <v/>
      </c>
      <c r="L557" s="18"/>
    </row>
    <row r="558" spans="2:12" x14ac:dyDescent="0.25">
      <c r="B558" s="16"/>
      <c r="C558" s="17" t="str">
        <f>IF(B558="","",IF(AND($B558&gt;=Settings!$C$10,$B558&lt;=Settings!$C$11),"OK","ERROR"))</f>
        <v/>
      </c>
      <c r="D558" s="18"/>
      <c r="E558" s="5"/>
      <c r="F558" s="19"/>
      <c r="G558" s="20" t="str">
        <f t="shared" si="16"/>
        <v/>
      </c>
      <c r="H558" s="18"/>
      <c r="I558" s="5"/>
      <c r="J558" s="21" t="str">
        <f t="shared" si="17"/>
        <v/>
      </c>
      <c r="K558" s="17" t="str">
        <f>IF(I558="","",MATCH($I558,Settings!$F$5:$F$46,0))</f>
        <v/>
      </c>
      <c r="L558" s="18"/>
    </row>
    <row r="559" spans="2:12" x14ac:dyDescent="0.25">
      <c r="B559" s="16"/>
      <c r="C559" s="17" t="str">
        <f>IF(B559="","",IF(AND($B559&gt;=Settings!$C$10,$B559&lt;=Settings!$C$11),"OK","ERROR"))</f>
        <v/>
      </c>
      <c r="D559" s="18"/>
      <c r="E559" s="5"/>
      <c r="F559" s="19"/>
      <c r="G559" s="20" t="str">
        <f t="shared" si="16"/>
        <v/>
      </c>
      <c r="H559" s="18"/>
      <c r="I559" s="5"/>
      <c r="J559" s="21" t="str">
        <f t="shared" si="17"/>
        <v/>
      </c>
      <c r="K559" s="17" t="str">
        <f>IF(I559="","",MATCH($I559,Settings!$F$5:$F$46,0))</f>
        <v/>
      </c>
      <c r="L559" s="18"/>
    </row>
    <row r="560" spans="2:12" x14ac:dyDescent="0.25">
      <c r="B560" s="16"/>
      <c r="C560" s="17" t="str">
        <f>IF(B560="","",IF(AND($B560&gt;=Settings!$C$10,$B560&lt;=Settings!$C$11),"OK","ERROR"))</f>
        <v/>
      </c>
      <c r="D560" s="18"/>
      <c r="E560" s="5"/>
      <c r="F560" s="19"/>
      <c r="G560" s="20" t="str">
        <f t="shared" si="16"/>
        <v/>
      </c>
      <c r="H560" s="18"/>
      <c r="I560" s="5"/>
      <c r="J560" s="21" t="str">
        <f t="shared" si="17"/>
        <v/>
      </c>
      <c r="K560" s="17" t="str">
        <f>IF(I560="","",MATCH($I560,Settings!$F$5:$F$46,0))</f>
        <v/>
      </c>
      <c r="L560" s="18"/>
    </row>
    <row r="561" spans="2:12" x14ac:dyDescent="0.25">
      <c r="B561" s="16"/>
      <c r="C561" s="17" t="str">
        <f>IF(B561="","",IF(AND($B561&gt;=Settings!$C$10,$B561&lt;=Settings!$C$11),"OK","ERROR"))</f>
        <v/>
      </c>
      <c r="D561" s="18"/>
      <c r="E561" s="5"/>
      <c r="F561" s="19"/>
      <c r="G561" s="20" t="str">
        <f t="shared" si="16"/>
        <v/>
      </c>
      <c r="H561" s="18"/>
      <c r="I561" s="5"/>
      <c r="J561" s="21" t="str">
        <f t="shared" si="17"/>
        <v/>
      </c>
      <c r="K561" s="17" t="str">
        <f>IF(I561="","",MATCH($I561,Settings!$F$5:$F$46,0))</f>
        <v/>
      </c>
      <c r="L561" s="18"/>
    </row>
    <row r="562" spans="2:12" x14ac:dyDescent="0.25">
      <c r="B562" s="16"/>
      <c r="C562" s="17" t="str">
        <f>IF(B562="","",IF(AND($B562&gt;=Settings!$C$10,$B562&lt;=Settings!$C$11),"OK","ERROR"))</f>
        <v/>
      </c>
      <c r="D562" s="18"/>
      <c r="E562" s="5"/>
      <c r="F562" s="19"/>
      <c r="G562" s="20" t="str">
        <f t="shared" si="16"/>
        <v/>
      </c>
      <c r="H562" s="18"/>
      <c r="I562" s="5"/>
      <c r="J562" s="21" t="str">
        <f t="shared" si="17"/>
        <v/>
      </c>
      <c r="K562" s="17" t="str">
        <f>IF(I562="","",MATCH($I562,Settings!$F$5:$F$46,0))</f>
        <v/>
      </c>
      <c r="L562" s="18"/>
    </row>
    <row r="563" spans="2:12" x14ac:dyDescent="0.25">
      <c r="B563" s="16"/>
      <c r="C563" s="17" t="str">
        <f>IF(B563="","",IF(AND($B563&gt;=Settings!$C$10,$B563&lt;=Settings!$C$11),"OK","ERROR"))</f>
        <v/>
      </c>
      <c r="D563" s="18"/>
      <c r="E563" s="5"/>
      <c r="F563" s="19"/>
      <c r="G563" s="20" t="str">
        <f t="shared" si="16"/>
        <v/>
      </c>
      <c r="H563" s="18"/>
      <c r="I563" s="5"/>
      <c r="J563" s="21" t="str">
        <f t="shared" si="17"/>
        <v/>
      </c>
      <c r="K563" s="17" t="str">
        <f>IF(I563="","",MATCH($I563,Settings!$F$5:$F$46,0))</f>
        <v/>
      </c>
      <c r="L563" s="18"/>
    </row>
    <row r="564" spans="2:12" x14ac:dyDescent="0.25">
      <c r="B564" s="16"/>
      <c r="C564" s="17" t="str">
        <f>IF(B564="","",IF(AND($B564&gt;=Settings!$C$10,$B564&lt;=Settings!$C$11),"OK","ERROR"))</f>
        <v/>
      </c>
      <c r="D564" s="18"/>
      <c r="E564" s="5"/>
      <c r="F564" s="19"/>
      <c r="G564" s="20" t="str">
        <f t="shared" si="16"/>
        <v/>
      </c>
      <c r="H564" s="18"/>
      <c r="I564" s="5"/>
      <c r="J564" s="21" t="str">
        <f t="shared" si="17"/>
        <v/>
      </c>
      <c r="K564" s="17" t="str">
        <f>IF(I564="","",MATCH($I564,Settings!$F$5:$F$46,0))</f>
        <v/>
      </c>
      <c r="L564" s="18"/>
    </row>
    <row r="565" spans="2:12" x14ac:dyDescent="0.25">
      <c r="B565" s="16"/>
      <c r="C565" s="17" t="str">
        <f>IF(B565="","",IF(AND($B565&gt;=Settings!$C$10,$B565&lt;=Settings!$C$11),"OK","ERROR"))</f>
        <v/>
      </c>
      <c r="D565" s="18"/>
      <c r="E565" s="5"/>
      <c r="F565" s="19"/>
      <c r="G565" s="20" t="str">
        <f t="shared" si="16"/>
        <v/>
      </c>
      <c r="H565" s="18"/>
      <c r="I565" s="5"/>
      <c r="J565" s="21" t="str">
        <f t="shared" si="17"/>
        <v/>
      </c>
      <c r="K565" s="17" t="str">
        <f>IF(I565="","",MATCH($I565,Settings!$F$5:$F$46,0))</f>
        <v/>
      </c>
      <c r="L565" s="18"/>
    </row>
    <row r="566" spans="2:12" x14ac:dyDescent="0.25">
      <c r="B566" s="16"/>
      <c r="C566" s="17" t="str">
        <f>IF(B566="","",IF(AND($B566&gt;=Settings!$C$10,$B566&lt;=Settings!$C$11),"OK","ERROR"))</f>
        <v/>
      </c>
      <c r="D566" s="18"/>
      <c r="E566" s="5"/>
      <c r="F566" s="19"/>
      <c r="G566" s="20" t="str">
        <f t="shared" si="16"/>
        <v/>
      </c>
      <c r="H566" s="18"/>
      <c r="I566" s="5"/>
      <c r="J566" s="21" t="str">
        <f t="shared" si="17"/>
        <v/>
      </c>
      <c r="K566" s="17" t="str">
        <f>IF(I566="","",MATCH($I566,Settings!$F$5:$F$46,0))</f>
        <v/>
      </c>
      <c r="L566" s="18"/>
    </row>
    <row r="567" spans="2:12" x14ac:dyDescent="0.25">
      <c r="B567" s="16"/>
      <c r="C567" s="17" t="str">
        <f>IF(B567="","",IF(AND($B567&gt;=Settings!$C$10,$B567&lt;=Settings!$C$11),"OK","ERROR"))</f>
        <v/>
      </c>
      <c r="D567" s="18"/>
      <c r="E567" s="5"/>
      <c r="F567" s="19"/>
      <c r="G567" s="20" t="str">
        <f t="shared" si="16"/>
        <v/>
      </c>
      <c r="H567" s="18"/>
      <c r="I567" s="5"/>
      <c r="J567" s="21" t="str">
        <f t="shared" si="17"/>
        <v/>
      </c>
      <c r="K567" s="17" t="str">
        <f>IF(I567="","",MATCH($I567,Settings!$F$5:$F$46,0))</f>
        <v/>
      </c>
      <c r="L567" s="18"/>
    </row>
    <row r="568" spans="2:12" x14ac:dyDescent="0.25">
      <c r="B568" s="16"/>
      <c r="C568" s="17" t="str">
        <f>IF(B568="","",IF(AND($B568&gt;=Settings!$C$10,$B568&lt;=Settings!$C$11),"OK","ERROR"))</f>
        <v/>
      </c>
      <c r="D568" s="18"/>
      <c r="E568" s="5"/>
      <c r="F568" s="19"/>
      <c r="G568" s="20" t="str">
        <f t="shared" si="16"/>
        <v/>
      </c>
      <c r="H568" s="18"/>
      <c r="I568" s="5"/>
      <c r="J568" s="21" t="str">
        <f t="shared" si="17"/>
        <v/>
      </c>
      <c r="K568" s="17" t="str">
        <f>IF(I568="","",MATCH($I568,Settings!$F$5:$F$46,0))</f>
        <v/>
      </c>
      <c r="L568" s="18"/>
    </row>
    <row r="569" spans="2:12" x14ac:dyDescent="0.25">
      <c r="B569" s="16"/>
      <c r="C569" s="17" t="str">
        <f>IF(B569="","",IF(AND($B569&gt;=Settings!$C$10,$B569&lt;=Settings!$C$11),"OK","ERROR"))</f>
        <v/>
      </c>
      <c r="D569" s="18"/>
      <c r="E569" s="5"/>
      <c r="F569" s="19"/>
      <c r="G569" s="20" t="str">
        <f t="shared" si="16"/>
        <v/>
      </c>
      <c r="H569" s="18"/>
      <c r="I569" s="5"/>
      <c r="J569" s="21" t="str">
        <f t="shared" si="17"/>
        <v/>
      </c>
      <c r="K569" s="17" t="str">
        <f>IF(I569="","",MATCH($I569,Settings!$F$5:$F$46,0))</f>
        <v/>
      </c>
      <c r="L569" s="18"/>
    </row>
    <row r="570" spans="2:12" x14ac:dyDescent="0.25">
      <c r="B570" s="16"/>
      <c r="C570" s="17" t="str">
        <f>IF(B570="","",IF(AND($B570&gt;=Settings!$C$10,$B570&lt;=Settings!$C$11),"OK","ERROR"))</f>
        <v/>
      </c>
      <c r="D570" s="18"/>
      <c r="E570" s="5"/>
      <c r="F570" s="19"/>
      <c r="G570" s="20" t="str">
        <f t="shared" si="16"/>
        <v/>
      </c>
      <c r="H570" s="18"/>
      <c r="I570" s="5"/>
      <c r="J570" s="21" t="str">
        <f t="shared" si="17"/>
        <v/>
      </c>
      <c r="K570" s="17" t="str">
        <f>IF(I570="","",MATCH($I570,Settings!$F$5:$F$46,0))</f>
        <v/>
      </c>
      <c r="L570" s="18"/>
    </row>
    <row r="571" spans="2:12" x14ac:dyDescent="0.25">
      <c r="B571" s="16"/>
      <c r="C571" s="17" t="str">
        <f>IF(B571="","",IF(AND($B571&gt;=Settings!$C$10,$B571&lt;=Settings!$C$11),"OK","ERROR"))</f>
        <v/>
      </c>
      <c r="D571" s="18"/>
      <c r="E571" s="5"/>
      <c r="F571" s="19"/>
      <c r="G571" s="20" t="str">
        <f t="shared" si="16"/>
        <v/>
      </c>
      <c r="H571" s="18"/>
      <c r="I571" s="5"/>
      <c r="J571" s="21" t="str">
        <f t="shared" si="17"/>
        <v/>
      </c>
      <c r="K571" s="17" t="str">
        <f>IF(I571="","",MATCH($I571,Settings!$F$5:$F$46,0))</f>
        <v/>
      </c>
      <c r="L571" s="18"/>
    </row>
    <row r="572" spans="2:12" x14ac:dyDescent="0.25">
      <c r="B572" s="16"/>
      <c r="C572" s="17" t="str">
        <f>IF(B572="","",IF(AND($B572&gt;=Settings!$C$10,$B572&lt;=Settings!$C$11),"OK","ERROR"))</f>
        <v/>
      </c>
      <c r="D572" s="18"/>
      <c r="E572" s="5"/>
      <c r="F572" s="19"/>
      <c r="G572" s="20" t="str">
        <f t="shared" si="16"/>
        <v/>
      </c>
      <c r="H572" s="18"/>
      <c r="I572" s="5"/>
      <c r="J572" s="21" t="str">
        <f t="shared" si="17"/>
        <v/>
      </c>
      <c r="K572" s="17" t="str">
        <f>IF(I572="","",MATCH($I572,Settings!$F$5:$F$46,0))</f>
        <v/>
      </c>
      <c r="L572" s="18"/>
    </row>
    <row r="573" spans="2:12" x14ac:dyDescent="0.25">
      <c r="B573" s="16"/>
      <c r="C573" s="17" t="str">
        <f>IF(B573="","",IF(AND($B573&gt;=Settings!$C$10,$B573&lt;=Settings!$C$11),"OK","ERROR"))</f>
        <v/>
      </c>
      <c r="D573" s="18"/>
      <c r="E573" s="5"/>
      <c r="F573" s="19"/>
      <c r="G573" s="20" t="str">
        <f t="shared" si="16"/>
        <v/>
      </c>
      <c r="H573" s="18"/>
      <c r="I573" s="5"/>
      <c r="J573" s="21" t="str">
        <f t="shared" si="17"/>
        <v/>
      </c>
      <c r="K573" s="17" t="str">
        <f>IF(I573="","",MATCH($I573,Settings!$F$5:$F$46,0))</f>
        <v/>
      </c>
      <c r="L573" s="18"/>
    </row>
    <row r="574" spans="2:12" x14ac:dyDescent="0.25">
      <c r="B574" s="16"/>
      <c r="C574" s="17" t="str">
        <f>IF(B574="","",IF(AND($B574&gt;=Settings!$C$10,$B574&lt;=Settings!$C$11),"OK","ERROR"))</f>
        <v/>
      </c>
      <c r="D574" s="18"/>
      <c r="E574" s="5"/>
      <c r="F574" s="19"/>
      <c r="G574" s="20" t="str">
        <f t="shared" si="16"/>
        <v/>
      </c>
      <c r="H574" s="18"/>
      <c r="I574" s="5"/>
      <c r="J574" s="21" t="str">
        <f t="shared" si="17"/>
        <v/>
      </c>
      <c r="K574" s="17" t="str">
        <f>IF(I574="","",MATCH($I574,Settings!$F$5:$F$46,0))</f>
        <v/>
      </c>
      <c r="L574" s="18"/>
    </row>
    <row r="575" spans="2:12" x14ac:dyDescent="0.25">
      <c r="B575" s="16"/>
      <c r="C575" s="17" t="str">
        <f>IF(B575="","",IF(AND($B575&gt;=Settings!$C$10,$B575&lt;=Settings!$C$11),"OK","ERROR"))</f>
        <v/>
      </c>
      <c r="D575" s="18"/>
      <c r="E575" s="5"/>
      <c r="F575" s="19"/>
      <c r="G575" s="20" t="str">
        <f t="shared" si="16"/>
        <v/>
      </c>
      <c r="H575" s="18"/>
      <c r="I575" s="5"/>
      <c r="J575" s="21" t="str">
        <f t="shared" si="17"/>
        <v/>
      </c>
      <c r="K575" s="17" t="str">
        <f>IF(I575="","",MATCH($I575,Settings!$F$5:$F$46,0))</f>
        <v/>
      </c>
      <c r="L575" s="18"/>
    </row>
    <row r="576" spans="2:12" x14ac:dyDescent="0.25">
      <c r="B576" s="16"/>
      <c r="C576" s="17" t="str">
        <f>IF(B576="","",IF(AND($B576&gt;=Settings!$C$10,$B576&lt;=Settings!$C$11),"OK","ERROR"))</f>
        <v/>
      </c>
      <c r="D576" s="18"/>
      <c r="E576" s="5"/>
      <c r="F576" s="19"/>
      <c r="G576" s="20" t="str">
        <f t="shared" si="16"/>
        <v/>
      </c>
      <c r="H576" s="18"/>
      <c r="I576" s="5"/>
      <c r="J576" s="21" t="str">
        <f t="shared" si="17"/>
        <v/>
      </c>
      <c r="K576" s="17" t="str">
        <f>IF(I576="","",MATCH($I576,Settings!$F$5:$F$46,0))</f>
        <v/>
      </c>
      <c r="L576" s="18"/>
    </row>
    <row r="577" spans="2:12" x14ac:dyDescent="0.25">
      <c r="B577" s="16"/>
      <c r="C577" s="17" t="str">
        <f>IF(B577="","",IF(AND($B577&gt;=Settings!$C$10,$B577&lt;=Settings!$C$11),"OK","ERROR"))</f>
        <v/>
      </c>
      <c r="D577" s="18"/>
      <c r="E577" s="5"/>
      <c r="F577" s="19"/>
      <c r="G577" s="20" t="str">
        <f t="shared" si="16"/>
        <v/>
      </c>
      <c r="H577" s="18"/>
      <c r="I577" s="5"/>
      <c r="J577" s="21" t="str">
        <f t="shared" si="17"/>
        <v/>
      </c>
      <c r="K577" s="17" t="str">
        <f>IF(I577="","",MATCH($I577,Settings!$F$5:$F$46,0))</f>
        <v/>
      </c>
      <c r="L577" s="18"/>
    </row>
    <row r="578" spans="2:12" x14ac:dyDescent="0.25">
      <c r="B578" s="16"/>
      <c r="C578" s="17" t="str">
        <f>IF(B578="","",IF(AND($B578&gt;=Settings!$C$10,$B578&lt;=Settings!$C$11),"OK","ERROR"))</f>
        <v/>
      </c>
      <c r="D578" s="18"/>
      <c r="E578" s="5"/>
      <c r="F578" s="19"/>
      <c r="G578" s="20" t="str">
        <f t="shared" si="16"/>
        <v/>
      </c>
      <c r="H578" s="18"/>
      <c r="I578" s="5"/>
      <c r="J578" s="21" t="str">
        <f t="shared" si="17"/>
        <v/>
      </c>
      <c r="K578" s="17" t="str">
        <f>IF(I578="","",MATCH($I578,Settings!$F$5:$F$46,0))</f>
        <v/>
      </c>
      <c r="L578" s="18"/>
    </row>
    <row r="579" spans="2:12" x14ac:dyDescent="0.25">
      <c r="B579" s="16"/>
      <c r="C579" s="17" t="str">
        <f>IF(B579="","",IF(AND($B579&gt;=Settings!$C$10,$B579&lt;=Settings!$C$11),"OK","ERROR"))</f>
        <v/>
      </c>
      <c r="D579" s="18"/>
      <c r="E579" s="5"/>
      <c r="F579" s="19"/>
      <c r="G579" s="20" t="str">
        <f t="shared" si="16"/>
        <v/>
      </c>
      <c r="H579" s="18"/>
      <c r="I579" s="5"/>
      <c r="J579" s="21" t="str">
        <f t="shared" si="17"/>
        <v/>
      </c>
      <c r="K579" s="17" t="str">
        <f>IF(I579="","",MATCH($I579,Settings!$F$5:$F$46,0))</f>
        <v/>
      </c>
      <c r="L579" s="18"/>
    </row>
    <row r="580" spans="2:12" x14ac:dyDescent="0.25">
      <c r="B580" s="16"/>
      <c r="C580" s="17" t="str">
        <f>IF(B580="","",IF(AND($B580&gt;=Settings!$C$10,$B580&lt;=Settings!$C$11),"OK","ERROR"))</f>
        <v/>
      </c>
      <c r="D580" s="18"/>
      <c r="E580" s="5"/>
      <c r="F580" s="19"/>
      <c r="G580" s="20" t="str">
        <f t="shared" si="16"/>
        <v/>
      </c>
      <c r="H580" s="18"/>
      <c r="I580" s="5"/>
      <c r="J580" s="21" t="str">
        <f t="shared" si="17"/>
        <v/>
      </c>
      <c r="K580" s="17" t="str">
        <f>IF(I580="","",MATCH($I580,Settings!$F$5:$F$46,0))</f>
        <v/>
      </c>
      <c r="L580" s="18"/>
    </row>
    <row r="581" spans="2:12" x14ac:dyDescent="0.25">
      <c r="B581" s="16"/>
      <c r="C581" s="17" t="str">
        <f>IF(B581="","",IF(AND($B581&gt;=Settings!$C$10,$B581&lt;=Settings!$C$11),"OK","ERROR"))</f>
        <v/>
      </c>
      <c r="D581" s="18"/>
      <c r="E581" s="5"/>
      <c r="F581" s="19"/>
      <c r="G581" s="20" t="str">
        <f t="shared" si="16"/>
        <v/>
      </c>
      <c r="H581" s="18"/>
      <c r="I581" s="5"/>
      <c r="J581" s="21" t="str">
        <f t="shared" si="17"/>
        <v/>
      </c>
      <c r="K581" s="17" t="str">
        <f>IF(I581="","",MATCH($I581,Settings!$F$5:$F$46,0))</f>
        <v/>
      </c>
      <c r="L581" s="18"/>
    </row>
    <row r="582" spans="2:12" x14ac:dyDescent="0.25">
      <c r="B582" s="16"/>
      <c r="C582" s="17" t="str">
        <f>IF(B582="","",IF(AND($B582&gt;=Settings!$C$10,$B582&lt;=Settings!$C$11),"OK","ERROR"))</f>
        <v/>
      </c>
      <c r="D582" s="18"/>
      <c r="E582" s="5"/>
      <c r="F582" s="19"/>
      <c r="G582" s="20" t="str">
        <f t="shared" ref="G582:G645" si="18">IF(F582="","",IF(I582&lt;&gt;"","OK","ERROR"))</f>
        <v/>
      </c>
      <c r="H582" s="18"/>
      <c r="I582" s="5"/>
      <c r="J582" s="21" t="str">
        <f t="shared" si="17"/>
        <v/>
      </c>
      <c r="K582" s="17" t="str">
        <f>IF(I582="","",MATCH($I582,Settings!$F$5:$F$46,0))</f>
        <v/>
      </c>
      <c r="L582" s="18"/>
    </row>
    <row r="583" spans="2:12" x14ac:dyDescent="0.25">
      <c r="B583" s="16"/>
      <c r="C583" s="17" t="str">
        <f>IF(B583="","",IF(AND($B583&gt;=Settings!$C$10,$B583&lt;=Settings!$C$11),"OK","ERROR"))</f>
        <v/>
      </c>
      <c r="D583" s="18"/>
      <c r="E583" s="5"/>
      <c r="F583" s="19"/>
      <c r="G583" s="20" t="str">
        <f t="shared" si="18"/>
        <v/>
      </c>
      <c r="H583" s="18"/>
      <c r="I583" s="5"/>
      <c r="J583" s="21" t="str">
        <f t="shared" ref="J583:J646" si="19">IF(I583="","",IF(ISERROR($K583)=TRUE,"ERROR","OK"))</f>
        <v/>
      </c>
      <c r="K583" s="17" t="str">
        <f>IF(I583="","",MATCH($I583,Settings!$F$5:$F$46,0))</f>
        <v/>
      </c>
      <c r="L583" s="18"/>
    </row>
    <row r="584" spans="2:12" x14ac:dyDescent="0.25">
      <c r="B584" s="16"/>
      <c r="C584" s="17" t="str">
        <f>IF(B584="","",IF(AND($B584&gt;=Settings!$C$10,$B584&lt;=Settings!$C$11),"OK","ERROR"))</f>
        <v/>
      </c>
      <c r="D584" s="18"/>
      <c r="E584" s="5"/>
      <c r="F584" s="19"/>
      <c r="G584" s="20" t="str">
        <f t="shared" si="18"/>
        <v/>
      </c>
      <c r="H584" s="18"/>
      <c r="I584" s="5"/>
      <c r="J584" s="21" t="str">
        <f t="shared" si="19"/>
        <v/>
      </c>
      <c r="K584" s="17" t="str">
        <f>IF(I584="","",MATCH($I584,Settings!$F$5:$F$46,0))</f>
        <v/>
      </c>
      <c r="L584" s="18"/>
    </row>
    <row r="585" spans="2:12" x14ac:dyDescent="0.25">
      <c r="B585" s="16"/>
      <c r="C585" s="17" t="str">
        <f>IF(B585="","",IF(AND($B585&gt;=Settings!$C$10,$B585&lt;=Settings!$C$11),"OK","ERROR"))</f>
        <v/>
      </c>
      <c r="D585" s="18"/>
      <c r="E585" s="5"/>
      <c r="F585" s="19"/>
      <c r="G585" s="20" t="str">
        <f t="shared" si="18"/>
        <v/>
      </c>
      <c r="H585" s="18"/>
      <c r="I585" s="5"/>
      <c r="J585" s="21" t="str">
        <f t="shared" si="19"/>
        <v/>
      </c>
      <c r="K585" s="17" t="str">
        <f>IF(I585="","",MATCH($I585,Settings!$F$5:$F$46,0))</f>
        <v/>
      </c>
      <c r="L585" s="18"/>
    </row>
    <row r="586" spans="2:12" x14ac:dyDescent="0.25">
      <c r="B586" s="16"/>
      <c r="C586" s="17" t="str">
        <f>IF(B586="","",IF(AND($B586&gt;=Settings!$C$10,$B586&lt;=Settings!$C$11),"OK","ERROR"))</f>
        <v/>
      </c>
      <c r="D586" s="18"/>
      <c r="E586" s="5"/>
      <c r="F586" s="19"/>
      <c r="G586" s="20" t="str">
        <f t="shared" si="18"/>
        <v/>
      </c>
      <c r="H586" s="18"/>
      <c r="I586" s="5"/>
      <c r="J586" s="21" t="str">
        <f t="shared" si="19"/>
        <v/>
      </c>
      <c r="K586" s="17" t="str">
        <f>IF(I586="","",MATCH($I586,Settings!$F$5:$F$46,0))</f>
        <v/>
      </c>
      <c r="L586" s="18"/>
    </row>
    <row r="587" spans="2:12" x14ac:dyDescent="0.25">
      <c r="B587" s="16"/>
      <c r="C587" s="17" t="str">
        <f>IF(B587="","",IF(AND($B587&gt;=Settings!$C$10,$B587&lt;=Settings!$C$11),"OK","ERROR"))</f>
        <v/>
      </c>
      <c r="D587" s="18"/>
      <c r="E587" s="5"/>
      <c r="F587" s="19"/>
      <c r="G587" s="20" t="str">
        <f t="shared" si="18"/>
        <v/>
      </c>
      <c r="H587" s="18"/>
      <c r="I587" s="5"/>
      <c r="J587" s="21" t="str">
        <f t="shared" si="19"/>
        <v/>
      </c>
      <c r="K587" s="17" t="str">
        <f>IF(I587="","",MATCH($I587,Settings!$F$5:$F$46,0))</f>
        <v/>
      </c>
      <c r="L587" s="18"/>
    </row>
    <row r="588" spans="2:12" x14ac:dyDescent="0.25">
      <c r="B588" s="16"/>
      <c r="C588" s="17" t="str">
        <f>IF(B588="","",IF(AND($B588&gt;=Settings!$C$10,$B588&lt;=Settings!$C$11),"OK","ERROR"))</f>
        <v/>
      </c>
      <c r="D588" s="18"/>
      <c r="E588" s="5"/>
      <c r="F588" s="19"/>
      <c r="G588" s="20" t="str">
        <f t="shared" si="18"/>
        <v/>
      </c>
      <c r="H588" s="18"/>
      <c r="I588" s="5"/>
      <c r="J588" s="21" t="str">
        <f t="shared" si="19"/>
        <v/>
      </c>
      <c r="K588" s="17" t="str">
        <f>IF(I588="","",MATCH($I588,Settings!$F$5:$F$46,0))</f>
        <v/>
      </c>
      <c r="L588" s="18"/>
    </row>
    <row r="589" spans="2:12" x14ac:dyDescent="0.25">
      <c r="B589" s="16"/>
      <c r="C589" s="17" t="str">
        <f>IF(B589="","",IF(AND($B589&gt;=Settings!$C$10,$B589&lt;=Settings!$C$11),"OK","ERROR"))</f>
        <v/>
      </c>
      <c r="D589" s="18"/>
      <c r="E589" s="5"/>
      <c r="F589" s="19"/>
      <c r="G589" s="20" t="str">
        <f t="shared" si="18"/>
        <v/>
      </c>
      <c r="H589" s="18"/>
      <c r="I589" s="5"/>
      <c r="J589" s="21" t="str">
        <f t="shared" si="19"/>
        <v/>
      </c>
      <c r="K589" s="17" t="str">
        <f>IF(I589="","",MATCH($I589,Settings!$F$5:$F$46,0))</f>
        <v/>
      </c>
      <c r="L589" s="18"/>
    </row>
    <row r="590" spans="2:12" x14ac:dyDescent="0.25">
      <c r="B590" s="16"/>
      <c r="C590" s="17" t="str">
        <f>IF(B590="","",IF(AND($B590&gt;=Settings!$C$10,$B590&lt;=Settings!$C$11),"OK","ERROR"))</f>
        <v/>
      </c>
      <c r="D590" s="18"/>
      <c r="E590" s="5"/>
      <c r="F590" s="19"/>
      <c r="G590" s="20" t="str">
        <f t="shared" si="18"/>
        <v/>
      </c>
      <c r="H590" s="18"/>
      <c r="I590" s="5"/>
      <c r="J590" s="21" t="str">
        <f t="shared" si="19"/>
        <v/>
      </c>
      <c r="K590" s="17" t="str">
        <f>IF(I590="","",MATCH($I590,Settings!$F$5:$F$46,0))</f>
        <v/>
      </c>
      <c r="L590" s="18"/>
    </row>
    <row r="591" spans="2:12" x14ac:dyDescent="0.25">
      <c r="B591" s="16"/>
      <c r="C591" s="17" t="str">
        <f>IF(B591="","",IF(AND($B591&gt;=Settings!$C$10,$B591&lt;=Settings!$C$11),"OK","ERROR"))</f>
        <v/>
      </c>
      <c r="D591" s="18"/>
      <c r="E591" s="5"/>
      <c r="F591" s="19"/>
      <c r="G591" s="20" t="str">
        <f t="shared" si="18"/>
        <v/>
      </c>
      <c r="H591" s="18"/>
      <c r="I591" s="5"/>
      <c r="J591" s="21" t="str">
        <f t="shared" si="19"/>
        <v/>
      </c>
      <c r="K591" s="17" t="str">
        <f>IF(I591="","",MATCH($I591,Settings!$F$5:$F$46,0))</f>
        <v/>
      </c>
      <c r="L591" s="18"/>
    </row>
    <row r="592" spans="2:12" x14ac:dyDescent="0.25">
      <c r="B592" s="16"/>
      <c r="C592" s="17" t="str">
        <f>IF(B592="","",IF(AND($B592&gt;=Settings!$C$10,$B592&lt;=Settings!$C$11),"OK","ERROR"))</f>
        <v/>
      </c>
      <c r="D592" s="18"/>
      <c r="E592" s="5"/>
      <c r="F592" s="19"/>
      <c r="G592" s="20" t="str">
        <f t="shared" si="18"/>
        <v/>
      </c>
      <c r="H592" s="18"/>
      <c r="I592" s="5"/>
      <c r="J592" s="21" t="str">
        <f t="shared" si="19"/>
        <v/>
      </c>
      <c r="K592" s="17" t="str">
        <f>IF(I592="","",MATCH($I592,Settings!$F$5:$F$46,0))</f>
        <v/>
      </c>
      <c r="L592" s="18"/>
    </row>
    <row r="593" spans="2:12" x14ac:dyDescent="0.25">
      <c r="B593" s="16"/>
      <c r="C593" s="17" t="str">
        <f>IF(B593="","",IF(AND($B593&gt;=Settings!$C$10,$B593&lt;=Settings!$C$11),"OK","ERROR"))</f>
        <v/>
      </c>
      <c r="D593" s="18"/>
      <c r="E593" s="5"/>
      <c r="F593" s="19"/>
      <c r="G593" s="20" t="str">
        <f t="shared" si="18"/>
        <v/>
      </c>
      <c r="H593" s="18"/>
      <c r="I593" s="5"/>
      <c r="J593" s="21" t="str">
        <f t="shared" si="19"/>
        <v/>
      </c>
      <c r="K593" s="17" t="str">
        <f>IF(I593="","",MATCH($I593,Settings!$F$5:$F$46,0))</f>
        <v/>
      </c>
      <c r="L593" s="18"/>
    </row>
    <row r="594" spans="2:12" x14ac:dyDescent="0.25">
      <c r="B594" s="16"/>
      <c r="C594" s="17" t="str">
        <f>IF(B594="","",IF(AND($B594&gt;=Settings!$C$10,$B594&lt;=Settings!$C$11),"OK","ERROR"))</f>
        <v/>
      </c>
      <c r="D594" s="18"/>
      <c r="E594" s="5"/>
      <c r="F594" s="19"/>
      <c r="G594" s="20" t="str">
        <f t="shared" si="18"/>
        <v/>
      </c>
      <c r="H594" s="18"/>
      <c r="I594" s="5"/>
      <c r="J594" s="21" t="str">
        <f t="shared" si="19"/>
        <v/>
      </c>
      <c r="K594" s="17" t="str">
        <f>IF(I594="","",MATCH($I594,Settings!$F$5:$F$46,0))</f>
        <v/>
      </c>
      <c r="L594" s="18"/>
    </row>
    <row r="595" spans="2:12" x14ac:dyDescent="0.25">
      <c r="B595" s="16"/>
      <c r="C595" s="17" t="str">
        <f>IF(B595="","",IF(AND($B595&gt;=Settings!$C$10,$B595&lt;=Settings!$C$11),"OK","ERROR"))</f>
        <v/>
      </c>
      <c r="D595" s="18"/>
      <c r="E595" s="5"/>
      <c r="F595" s="19"/>
      <c r="G595" s="20" t="str">
        <f t="shared" si="18"/>
        <v/>
      </c>
      <c r="H595" s="18"/>
      <c r="I595" s="5"/>
      <c r="J595" s="21" t="str">
        <f t="shared" si="19"/>
        <v/>
      </c>
      <c r="K595" s="17" t="str">
        <f>IF(I595="","",MATCH($I595,Settings!$F$5:$F$46,0))</f>
        <v/>
      </c>
      <c r="L595" s="18"/>
    </row>
    <row r="596" spans="2:12" x14ac:dyDescent="0.25">
      <c r="B596" s="16"/>
      <c r="C596" s="17" t="str">
        <f>IF(B596="","",IF(AND($B596&gt;=Settings!$C$10,$B596&lt;=Settings!$C$11),"OK","ERROR"))</f>
        <v/>
      </c>
      <c r="D596" s="18"/>
      <c r="E596" s="5"/>
      <c r="F596" s="19"/>
      <c r="G596" s="20" t="str">
        <f t="shared" si="18"/>
        <v/>
      </c>
      <c r="H596" s="18"/>
      <c r="I596" s="5"/>
      <c r="J596" s="21" t="str">
        <f t="shared" si="19"/>
        <v/>
      </c>
      <c r="K596" s="17" t="str">
        <f>IF(I596="","",MATCH($I596,Settings!$F$5:$F$46,0))</f>
        <v/>
      </c>
      <c r="L596" s="18"/>
    </row>
    <row r="597" spans="2:12" x14ac:dyDescent="0.25">
      <c r="B597" s="16"/>
      <c r="C597" s="17" t="str">
        <f>IF(B597="","",IF(AND($B597&gt;=Settings!$C$10,$B597&lt;=Settings!$C$11),"OK","ERROR"))</f>
        <v/>
      </c>
      <c r="D597" s="18"/>
      <c r="E597" s="5"/>
      <c r="F597" s="19"/>
      <c r="G597" s="20" t="str">
        <f t="shared" si="18"/>
        <v/>
      </c>
      <c r="H597" s="18"/>
      <c r="I597" s="5"/>
      <c r="J597" s="21" t="str">
        <f t="shared" si="19"/>
        <v/>
      </c>
      <c r="K597" s="17" t="str">
        <f>IF(I597="","",MATCH($I597,Settings!$F$5:$F$46,0))</f>
        <v/>
      </c>
      <c r="L597" s="18"/>
    </row>
    <row r="598" spans="2:12" x14ac:dyDescent="0.25">
      <c r="B598" s="16"/>
      <c r="C598" s="17" t="str">
        <f>IF(B598="","",IF(AND($B598&gt;=Settings!$C$10,$B598&lt;=Settings!$C$11),"OK","ERROR"))</f>
        <v/>
      </c>
      <c r="D598" s="18"/>
      <c r="E598" s="5"/>
      <c r="F598" s="19"/>
      <c r="G598" s="20" t="str">
        <f t="shared" si="18"/>
        <v/>
      </c>
      <c r="H598" s="18"/>
      <c r="I598" s="5"/>
      <c r="J598" s="21" t="str">
        <f t="shared" si="19"/>
        <v/>
      </c>
      <c r="K598" s="17" t="str">
        <f>IF(I598="","",MATCH($I598,Settings!$F$5:$F$46,0))</f>
        <v/>
      </c>
      <c r="L598" s="18"/>
    </row>
    <row r="599" spans="2:12" x14ac:dyDescent="0.25">
      <c r="B599" s="16"/>
      <c r="C599" s="17" t="str">
        <f>IF(B599="","",IF(AND($B599&gt;=Settings!$C$10,$B599&lt;=Settings!$C$11),"OK","ERROR"))</f>
        <v/>
      </c>
      <c r="D599" s="18"/>
      <c r="E599" s="5"/>
      <c r="F599" s="19"/>
      <c r="G599" s="20" t="str">
        <f t="shared" si="18"/>
        <v/>
      </c>
      <c r="H599" s="18"/>
      <c r="I599" s="5"/>
      <c r="J599" s="21" t="str">
        <f t="shared" si="19"/>
        <v/>
      </c>
      <c r="K599" s="17" t="str">
        <f>IF(I599="","",MATCH($I599,Settings!$F$5:$F$46,0))</f>
        <v/>
      </c>
      <c r="L599" s="18"/>
    </row>
    <row r="600" spans="2:12" x14ac:dyDescent="0.25">
      <c r="B600" s="16"/>
      <c r="C600" s="17" t="str">
        <f>IF(B600="","",IF(AND($B600&gt;=Settings!$C$10,$B600&lt;=Settings!$C$11),"OK","ERROR"))</f>
        <v/>
      </c>
      <c r="D600" s="18"/>
      <c r="E600" s="5"/>
      <c r="F600" s="19"/>
      <c r="G600" s="20" t="str">
        <f t="shared" si="18"/>
        <v/>
      </c>
      <c r="H600" s="18"/>
      <c r="I600" s="5"/>
      <c r="J600" s="21" t="str">
        <f t="shared" si="19"/>
        <v/>
      </c>
      <c r="K600" s="17" t="str">
        <f>IF(I600="","",MATCH($I600,Settings!$F$5:$F$46,0))</f>
        <v/>
      </c>
      <c r="L600" s="18"/>
    </row>
    <row r="601" spans="2:12" x14ac:dyDescent="0.25">
      <c r="B601" s="16"/>
      <c r="C601" s="17" t="str">
        <f>IF(B601="","",IF(AND($B601&gt;=Settings!$C$10,$B601&lt;=Settings!$C$11),"OK","ERROR"))</f>
        <v/>
      </c>
      <c r="D601" s="18"/>
      <c r="E601" s="5"/>
      <c r="F601" s="19"/>
      <c r="G601" s="20" t="str">
        <f t="shared" si="18"/>
        <v/>
      </c>
      <c r="H601" s="18"/>
      <c r="I601" s="5"/>
      <c r="J601" s="21" t="str">
        <f t="shared" si="19"/>
        <v/>
      </c>
      <c r="K601" s="17" t="str">
        <f>IF(I601="","",MATCH($I601,Settings!$F$5:$F$46,0))</f>
        <v/>
      </c>
      <c r="L601" s="18"/>
    </row>
    <row r="602" spans="2:12" x14ac:dyDescent="0.25">
      <c r="B602" s="16"/>
      <c r="C602" s="17" t="str">
        <f>IF(B602="","",IF(AND($B602&gt;=Settings!$C$10,$B602&lt;=Settings!$C$11),"OK","ERROR"))</f>
        <v/>
      </c>
      <c r="D602" s="18"/>
      <c r="E602" s="5"/>
      <c r="F602" s="19"/>
      <c r="G602" s="20" t="str">
        <f t="shared" si="18"/>
        <v/>
      </c>
      <c r="H602" s="18"/>
      <c r="I602" s="5"/>
      <c r="J602" s="21" t="str">
        <f t="shared" si="19"/>
        <v/>
      </c>
      <c r="K602" s="17" t="str">
        <f>IF(I602="","",MATCH($I602,Settings!$F$5:$F$46,0))</f>
        <v/>
      </c>
      <c r="L602" s="18"/>
    </row>
    <row r="603" spans="2:12" x14ac:dyDescent="0.25">
      <c r="B603" s="16"/>
      <c r="C603" s="17" t="str">
        <f>IF(B603="","",IF(AND($B603&gt;=Settings!$C$10,$B603&lt;=Settings!$C$11),"OK","ERROR"))</f>
        <v/>
      </c>
      <c r="D603" s="18"/>
      <c r="E603" s="5"/>
      <c r="F603" s="19"/>
      <c r="G603" s="20" t="str">
        <f t="shared" si="18"/>
        <v/>
      </c>
      <c r="H603" s="18"/>
      <c r="I603" s="5"/>
      <c r="J603" s="21" t="str">
        <f t="shared" si="19"/>
        <v/>
      </c>
      <c r="K603" s="17" t="str">
        <f>IF(I603="","",MATCH($I603,Settings!$F$5:$F$46,0))</f>
        <v/>
      </c>
      <c r="L603" s="18"/>
    </row>
    <row r="604" spans="2:12" x14ac:dyDescent="0.25">
      <c r="B604" s="16"/>
      <c r="C604" s="17" t="str">
        <f>IF(B604="","",IF(AND($B604&gt;=Settings!$C$10,$B604&lt;=Settings!$C$11),"OK","ERROR"))</f>
        <v/>
      </c>
      <c r="D604" s="18"/>
      <c r="E604" s="5"/>
      <c r="F604" s="19"/>
      <c r="G604" s="20" t="str">
        <f t="shared" si="18"/>
        <v/>
      </c>
      <c r="H604" s="18"/>
      <c r="I604" s="5"/>
      <c r="J604" s="21" t="str">
        <f t="shared" si="19"/>
        <v/>
      </c>
      <c r="K604" s="17" t="str">
        <f>IF(I604="","",MATCH($I604,Settings!$F$5:$F$46,0))</f>
        <v/>
      </c>
      <c r="L604" s="18"/>
    </row>
    <row r="605" spans="2:12" x14ac:dyDescent="0.25">
      <c r="B605" s="16"/>
      <c r="C605" s="17" t="str">
        <f>IF(B605="","",IF(AND($B605&gt;=Settings!$C$10,$B605&lt;=Settings!$C$11),"OK","ERROR"))</f>
        <v/>
      </c>
      <c r="D605" s="18"/>
      <c r="E605" s="5"/>
      <c r="F605" s="19"/>
      <c r="G605" s="20" t="str">
        <f t="shared" si="18"/>
        <v/>
      </c>
      <c r="H605" s="18"/>
      <c r="I605" s="5"/>
      <c r="J605" s="21" t="str">
        <f t="shared" si="19"/>
        <v/>
      </c>
      <c r="K605" s="17" t="str">
        <f>IF(I605="","",MATCH($I605,Settings!$F$5:$F$46,0))</f>
        <v/>
      </c>
      <c r="L605" s="18"/>
    </row>
    <row r="606" spans="2:12" x14ac:dyDescent="0.25">
      <c r="B606" s="16"/>
      <c r="C606" s="17" t="str">
        <f>IF(B606="","",IF(AND($B606&gt;=Settings!$C$10,$B606&lt;=Settings!$C$11),"OK","ERROR"))</f>
        <v/>
      </c>
      <c r="D606" s="18"/>
      <c r="E606" s="5"/>
      <c r="F606" s="19"/>
      <c r="G606" s="20" t="str">
        <f t="shared" si="18"/>
        <v/>
      </c>
      <c r="H606" s="18"/>
      <c r="I606" s="5"/>
      <c r="J606" s="21" t="str">
        <f t="shared" si="19"/>
        <v/>
      </c>
      <c r="K606" s="17" t="str">
        <f>IF(I606="","",MATCH($I606,Settings!$F$5:$F$46,0))</f>
        <v/>
      </c>
      <c r="L606" s="18"/>
    </row>
    <row r="607" spans="2:12" x14ac:dyDescent="0.25">
      <c r="B607" s="16"/>
      <c r="C607" s="17" t="str">
        <f>IF(B607="","",IF(AND($B607&gt;=Settings!$C$10,$B607&lt;=Settings!$C$11),"OK","ERROR"))</f>
        <v/>
      </c>
      <c r="D607" s="18"/>
      <c r="E607" s="5"/>
      <c r="F607" s="19"/>
      <c r="G607" s="20" t="str">
        <f t="shared" si="18"/>
        <v/>
      </c>
      <c r="H607" s="18"/>
      <c r="I607" s="5"/>
      <c r="J607" s="21" t="str">
        <f t="shared" si="19"/>
        <v/>
      </c>
      <c r="K607" s="17" t="str">
        <f>IF(I607="","",MATCH($I607,Settings!$F$5:$F$46,0))</f>
        <v/>
      </c>
      <c r="L607" s="18"/>
    </row>
    <row r="608" spans="2:12" x14ac:dyDescent="0.25">
      <c r="B608" s="16"/>
      <c r="C608" s="17" t="str">
        <f>IF(B608="","",IF(AND($B608&gt;=Settings!$C$10,$B608&lt;=Settings!$C$11),"OK","ERROR"))</f>
        <v/>
      </c>
      <c r="D608" s="18"/>
      <c r="E608" s="5"/>
      <c r="F608" s="19"/>
      <c r="G608" s="20" t="str">
        <f t="shared" si="18"/>
        <v/>
      </c>
      <c r="H608" s="18"/>
      <c r="I608" s="5"/>
      <c r="J608" s="21" t="str">
        <f t="shared" si="19"/>
        <v/>
      </c>
      <c r="K608" s="17" t="str">
        <f>IF(I608="","",MATCH($I608,Settings!$F$5:$F$46,0))</f>
        <v/>
      </c>
      <c r="L608" s="18"/>
    </row>
    <row r="609" spans="2:12" x14ac:dyDescent="0.25">
      <c r="B609" s="16"/>
      <c r="C609" s="17" t="str">
        <f>IF(B609="","",IF(AND($B609&gt;=Settings!$C$10,$B609&lt;=Settings!$C$11),"OK","ERROR"))</f>
        <v/>
      </c>
      <c r="D609" s="18"/>
      <c r="E609" s="5"/>
      <c r="F609" s="19"/>
      <c r="G609" s="20" t="str">
        <f t="shared" si="18"/>
        <v/>
      </c>
      <c r="H609" s="18"/>
      <c r="I609" s="5"/>
      <c r="J609" s="21" t="str">
        <f t="shared" si="19"/>
        <v/>
      </c>
      <c r="K609" s="17" t="str">
        <f>IF(I609="","",MATCH($I609,Settings!$F$5:$F$46,0))</f>
        <v/>
      </c>
      <c r="L609" s="18"/>
    </row>
    <row r="610" spans="2:12" x14ac:dyDescent="0.25">
      <c r="B610" s="16"/>
      <c r="C610" s="17" t="str">
        <f>IF(B610="","",IF(AND($B610&gt;=Settings!$C$10,$B610&lt;=Settings!$C$11),"OK","ERROR"))</f>
        <v/>
      </c>
      <c r="D610" s="18"/>
      <c r="E610" s="5"/>
      <c r="F610" s="19"/>
      <c r="G610" s="20" t="str">
        <f t="shared" si="18"/>
        <v/>
      </c>
      <c r="H610" s="18"/>
      <c r="I610" s="5"/>
      <c r="J610" s="21" t="str">
        <f t="shared" si="19"/>
        <v/>
      </c>
      <c r="K610" s="17" t="str">
        <f>IF(I610="","",MATCH($I610,Settings!$F$5:$F$46,0))</f>
        <v/>
      </c>
      <c r="L610" s="18"/>
    </row>
    <row r="611" spans="2:12" x14ac:dyDescent="0.25">
      <c r="B611" s="16"/>
      <c r="C611" s="17" t="str">
        <f>IF(B611="","",IF(AND($B611&gt;=Settings!$C$10,$B611&lt;=Settings!$C$11),"OK","ERROR"))</f>
        <v/>
      </c>
      <c r="D611" s="18"/>
      <c r="E611" s="5"/>
      <c r="F611" s="19"/>
      <c r="G611" s="20" t="str">
        <f t="shared" si="18"/>
        <v/>
      </c>
      <c r="H611" s="18"/>
      <c r="I611" s="5"/>
      <c r="J611" s="21" t="str">
        <f t="shared" si="19"/>
        <v/>
      </c>
      <c r="K611" s="17" t="str">
        <f>IF(I611="","",MATCH($I611,Settings!$F$5:$F$46,0))</f>
        <v/>
      </c>
      <c r="L611" s="18"/>
    </row>
    <row r="612" spans="2:12" x14ac:dyDescent="0.25">
      <c r="B612" s="16"/>
      <c r="C612" s="17" t="str">
        <f>IF(B612="","",IF(AND($B612&gt;=Settings!$C$10,$B612&lt;=Settings!$C$11),"OK","ERROR"))</f>
        <v/>
      </c>
      <c r="D612" s="18"/>
      <c r="E612" s="5"/>
      <c r="F612" s="19"/>
      <c r="G612" s="20" t="str">
        <f t="shared" si="18"/>
        <v/>
      </c>
      <c r="H612" s="18"/>
      <c r="I612" s="5"/>
      <c r="J612" s="21" t="str">
        <f t="shared" si="19"/>
        <v/>
      </c>
      <c r="K612" s="17" t="str">
        <f>IF(I612="","",MATCH($I612,Settings!$F$5:$F$46,0))</f>
        <v/>
      </c>
      <c r="L612" s="18"/>
    </row>
    <row r="613" spans="2:12" x14ac:dyDescent="0.25">
      <c r="B613" s="16"/>
      <c r="C613" s="17" t="str">
        <f>IF(B613="","",IF(AND($B613&gt;=Settings!$C$10,$B613&lt;=Settings!$C$11),"OK","ERROR"))</f>
        <v/>
      </c>
      <c r="D613" s="18"/>
      <c r="E613" s="5"/>
      <c r="F613" s="19"/>
      <c r="G613" s="20" t="str">
        <f t="shared" si="18"/>
        <v/>
      </c>
      <c r="H613" s="18"/>
      <c r="I613" s="5"/>
      <c r="J613" s="21" t="str">
        <f t="shared" si="19"/>
        <v/>
      </c>
      <c r="K613" s="17" t="str">
        <f>IF(I613="","",MATCH($I613,Settings!$F$5:$F$46,0))</f>
        <v/>
      </c>
      <c r="L613" s="18"/>
    </row>
    <row r="614" spans="2:12" x14ac:dyDescent="0.25">
      <c r="B614" s="16"/>
      <c r="C614" s="17" t="str">
        <f>IF(B614="","",IF(AND($B614&gt;=Settings!$C$10,$B614&lt;=Settings!$C$11),"OK","ERROR"))</f>
        <v/>
      </c>
      <c r="D614" s="18"/>
      <c r="E614" s="5"/>
      <c r="F614" s="19"/>
      <c r="G614" s="20" t="str">
        <f t="shared" si="18"/>
        <v/>
      </c>
      <c r="H614" s="18"/>
      <c r="I614" s="5"/>
      <c r="J614" s="21" t="str">
        <f t="shared" si="19"/>
        <v/>
      </c>
      <c r="K614" s="17" t="str">
        <f>IF(I614="","",MATCH($I614,Settings!$F$5:$F$46,0))</f>
        <v/>
      </c>
      <c r="L614" s="18"/>
    </row>
    <row r="615" spans="2:12" x14ac:dyDescent="0.25">
      <c r="B615" s="16"/>
      <c r="C615" s="17" t="str">
        <f>IF(B615="","",IF(AND($B615&gt;=Settings!$C$10,$B615&lt;=Settings!$C$11),"OK","ERROR"))</f>
        <v/>
      </c>
      <c r="D615" s="18"/>
      <c r="E615" s="5"/>
      <c r="F615" s="19"/>
      <c r="G615" s="20" t="str">
        <f t="shared" si="18"/>
        <v/>
      </c>
      <c r="H615" s="18"/>
      <c r="I615" s="5"/>
      <c r="J615" s="21" t="str">
        <f t="shared" si="19"/>
        <v/>
      </c>
      <c r="K615" s="17" t="str">
        <f>IF(I615="","",MATCH($I615,Settings!$F$5:$F$46,0))</f>
        <v/>
      </c>
      <c r="L615" s="18"/>
    </row>
    <row r="616" spans="2:12" x14ac:dyDescent="0.25">
      <c r="B616" s="16"/>
      <c r="C616" s="17" t="str">
        <f>IF(B616="","",IF(AND($B616&gt;=Settings!$C$10,$B616&lt;=Settings!$C$11),"OK","ERROR"))</f>
        <v/>
      </c>
      <c r="D616" s="18"/>
      <c r="E616" s="5"/>
      <c r="F616" s="19"/>
      <c r="G616" s="20" t="str">
        <f t="shared" si="18"/>
        <v/>
      </c>
      <c r="H616" s="18"/>
      <c r="I616" s="5"/>
      <c r="J616" s="21" t="str">
        <f t="shared" si="19"/>
        <v/>
      </c>
      <c r="K616" s="17" t="str">
        <f>IF(I616="","",MATCH($I616,Settings!$F$5:$F$46,0))</f>
        <v/>
      </c>
      <c r="L616" s="18"/>
    </row>
    <row r="617" spans="2:12" x14ac:dyDescent="0.25">
      <c r="B617" s="16"/>
      <c r="C617" s="17" t="str">
        <f>IF(B617="","",IF(AND($B617&gt;=Settings!$C$10,$B617&lt;=Settings!$C$11),"OK","ERROR"))</f>
        <v/>
      </c>
      <c r="D617" s="18"/>
      <c r="E617" s="5"/>
      <c r="F617" s="19"/>
      <c r="G617" s="20" t="str">
        <f t="shared" si="18"/>
        <v/>
      </c>
      <c r="H617" s="18"/>
      <c r="I617" s="5"/>
      <c r="J617" s="21" t="str">
        <f t="shared" si="19"/>
        <v/>
      </c>
      <c r="K617" s="17" t="str">
        <f>IF(I617="","",MATCH($I617,Settings!$F$5:$F$46,0))</f>
        <v/>
      </c>
      <c r="L617" s="18"/>
    </row>
    <row r="618" spans="2:12" x14ac:dyDescent="0.25">
      <c r="B618" s="16"/>
      <c r="C618" s="17" t="str">
        <f>IF(B618="","",IF(AND($B618&gt;=Settings!$C$10,$B618&lt;=Settings!$C$11),"OK","ERROR"))</f>
        <v/>
      </c>
      <c r="D618" s="18"/>
      <c r="E618" s="5"/>
      <c r="F618" s="19"/>
      <c r="G618" s="20" t="str">
        <f t="shared" si="18"/>
        <v/>
      </c>
      <c r="H618" s="18"/>
      <c r="I618" s="5"/>
      <c r="J618" s="21" t="str">
        <f t="shared" si="19"/>
        <v/>
      </c>
      <c r="K618" s="17" t="str">
        <f>IF(I618="","",MATCH($I618,Settings!$F$5:$F$46,0))</f>
        <v/>
      </c>
      <c r="L618" s="18"/>
    </row>
    <row r="619" spans="2:12" x14ac:dyDescent="0.25">
      <c r="B619" s="16"/>
      <c r="C619" s="17" t="str">
        <f>IF(B619="","",IF(AND($B619&gt;=Settings!$C$10,$B619&lt;=Settings!$C$11),"OK","ERROR"))</f>
        <v/>
      </c>
      <c r="D619" s="18"/>
      <c r="E619" s="5"/>
      <c r="F619" s="19"/>
      <c r="G619" s="20" t="str">
        <f t="shared" si="18"/>
        <v/>
      </c>
      <c r="H619" s="18"/>
      <c r="I619" s="5"/>
      <c r="J619" s="21" t="str">
        <f t="shared" si="19"/>
        <v/>
      </c>
      <c r="K619" s="17" t="str">
        <f>IF(I619="","",MATCH($I619,Settings!$F$5:$F$46,0))</f>
        <v/>
      </c>
      <c r="L619" s="18"/>
    </row>
    <row r="620" spans="2:12" x14ac:dyDescent="0.25">
      <c r="B620" s="16"/>
      <c r="C620" s="17" t="str">
        <f>IF(B620="","",IF(AND($B620&gt;=Settings!$C$10,$B620&lt;=Settings!$C$11),"OK","ERROR"))</f>
        <v/>
      </c>
      <c r="D620" s="18"/>
      <c r="E620" s="5"/>
      <c r="F620" s="19"/>
      <c r="G620" s="20" t="str">
        <f t="shared" si="18"/>
        <v/>
      </c>
      <c r="H620" s="18"/>
      <c r="I620" s="5"/>
      <c r="J620" s="21" t="str">
        <f t="shared" si="19"/>
        <v/>
      </c>
      <c r="K620" s="17" t="str">
        <f>IF(I620="","",MATCH($I620,Settings!$F$5:$F$46,0))</f>
        <v/>
      </c>
      <c r="L620" s="18"/>
    </row>
    <row r="621" spans="2:12" x14ac:dyDescent="0.25">
      <c r="B621" s="16"/>
      <c r="C621" s="17" t="str">
        <f>IF(B621="","",IF(AND($B621&gt;=Settings!$C$10,$B621&lt;=Settings!$C$11),"OK","ERROR"))</f>
        <v/>
      </c>
      <c r="D621" s="18"/>
      <c r="E621" s="5"/>
      <c r="F621" s="19"/>
      <c r="G621" s="20" t="str">
        <f t="shared" si="18"/>
        <v/>
      </c>
      <c r="H621" s="18"/>
      <c r="I621" s="5"/>
      <c r="J621" s="21" t="str">
        <f t="shared" si="19"/>
        <v/>
      </c>
      <c r="K621" s="17" t="str">
        <f>IF(I621="","",MATCH($I621,Settings!$F$5:$F$46,0))</f>
        <v/>
      </c>
      <c r="L621" s="18"/>
    </row>
    <row r="622" spans="2:12" x14ac:dyDescent="0.25">
      <c r="B622" s="16"/>
      <c r="C622" s="17" t="str">
        <f>IF(B622="","",IF(AND($B622&gt;=Settings!$C$10,$B622&lt;=Settings!$C$11),"OK","ERROR"))</f>
        <v/>
      </c>
      <c r="D622" s="18"/>
      <c r="E622" s="5"/>
      <c r="F622" s="19"/>
      <c r="G622" s="20" t="str">
        <f t="shared" si="18"/>
        <v/>
      </c>
      <c r="H622" s="18"/>
      <c r="I622" s="5"/>
      <c r="J622" s="21" t="str">
        <f t="shared" si="19"/>
        <v/>
      </c>
      <c r="K622" s="17" t="str">
        <f>IF(I622="","",MATCH($I622,Settings!$F$5:$F$46,0))</f>
        <v/>
      </c>
      <c r="L622" s="18"/>
    </row>
    <row r="623" spans="2:12" x14ac:dyDescent="0.25">
      <c r="B623" s="16"/>
      <c r="C623" s="17" t="str">
        <f>IF(B623="","",IF(AND($B623&gt;=Settings!$C$10,$B623&lt;=Settings!$C$11),"OK","ERROR"))</f>
        <v/>
      </c>
      <c r="D623" s="18"/>
      <c r="E623" s="5"/>
      <c r="F623" s="19"/>
      <c r="G623" s="20" t="str">
        <f t="shared" si="18"/>
        <v/>
      </c>
      <c r="H623" s="18"/>
      <c r="I623" s="5"/>
      <c r="J623" s="21" t="str">
        <f t="shared" si="19"/>
        <v/>
      </c>
      <c r="K623" s="17" t="str">
        <f>IF(I623="","",MATCH($I623,Settings!$F$5:$F$46,0))</f>
        <v/>
      </c>
      <c r="L623" s="18"/>
    </row>
    <row r="624" spans="2:12" x14ac:dyDescent="0.25">
      <c r="B624" s="16"/>
      <c r="C624" s="17" t="str">
        <f>IF(B624="","",IF(AND($B624&gt;=Settings!$C$10,$B624&lt;=Settings!$C$11),"OK","ERROR"))</f>
        <v/>
      </c>
      <c r="D624" s="18"/>
      <c r="E624" s="5"/>
      <c r="F624" s="19"/>
      <c r="G624" s="20" t="str">
        <f t="shared" si="18"/>
        <v/>
      </c>
      <c r="H624" s="18"/>
      <c r="I624" s="5"/>
      <c r="J624" s="21" t="str">
        <f t="shared" si="19"/>
        <v/>
      </c>
      <c r="K624" s="17" t="str">
        <f>IF(I624="","",MATCH($I624,Settings!$F$5:$F$46,0))</f>
        <v/>
      </c>
      <c r="L624" s="18"/>
    </row>
    <row r="625" spans="2:12" x14ac:dyDescent="0.25">
      <c r="B625" s="16"/>
      <c r="C625" s="17" t="str">
        <f>IF(B625="","",IF(AND($B625&gt;=Settings!$C$10,$B625&lt;=Settings!$C$11),"OK","ERROR"))</f>
        <v/>
      </c>
      <c r="D625" s="18"/>
      <c r="E625" s="5"/>
      <c r="F625" s="19"/>
      <c r="G625" s="20" t="str">
        <f t="shared" si="18"/>
        <v/>
      </c>
      <c r="H625" s="18"/>
      <c r="I625" s="5"/>
      <c r="J625" s="21" t="str">
        <f t="shared" si="19"/>
        <v/>
      </c>
      <c r="K625" s="17" t="str">
        <f>IF(I625="","",MATCH($I625,Settings!$F$5:$F$46,0))</f>
        <v/>
      </c>
      <c r="L625" s="18"/>
    </row>
    <row r="626" spans="2:12" x14ac:dyDescent="0.25">
      <c r="B626" s="16"/>
      <c r="C626" s="17" t="str">
        <f>IF(B626="","",IF(AND($B626&gt;=Settings!$C$10,$B626&lt;=Settings!$C$11),"OK","ERROR"))</f>
        <v/>
      </c>
      <c r="D626" s="18"/>
      <c r="E626" s="5"/>
      <c r="F626" s="19"/>
      <c r="G626" s="20" t="str">
        <f t="shared" si="18"/>
        <v/>
      </c>
      <c r="H626" s="18"/>
      <c r="I626" s="5"/>
      <c r="J626" s="21" t="str">
        <f t="shared" si="19"/>
        <v/>
      </c>
      <c r="K626" s="17" t="str">
        <f>IF(I626="","",MATCH($I626,Settings!$F$5:$F$46,0))</f>
        <v/>
      </c>
      <c r="L626" s="18"/>
    </row>
    <row r="627" spans="2:12" x14ac:dyDescent="0.25">
      <c r="B627" s="16"/>
      <c r="C627" s="17" t="str">
        <f>IF(B627="","",IF(AND($B627&gt;=Settings!$C$10,$B627&lt;=Settings!$C$11),"OK","ERROR"))</f>
        <v/>
      </c>
      <c r="D627" s="18"/>
      <c r="E627" s="5"/>
      <c r="F627" s="19"/>
      <c r="G627" s="20" t="str">
        <f t="shared" si="18"/>
        <v/>
      </c>
      <c r="H627" s="18"/>
      <c r="I627" s="5"/>
      <c r="J627" s="21" t="str">
        <f t="shared" si="19"/>
        <v/>
      </c>
      <c r="K627" s="17" t="str">
        <f>IF(I627="","",MATCH($I627,Settings!$F$5:$F$46,0))</f>
        <v/>
      </c>
      <c r="L627" s="18"/>
    </row>
    <row r="628" spans="2:12" x14ac:dyDescent="0.25">
      <c r="B628" s="16"/>
      <c r="C628" s="17" t="str">
        <f>IF(B628="","",IF(AND($B628&gt;=Settings!$C$10,$B628&lt;=Settings!$C$11),"OK","ERROR"))</f>
        <v/>
      </c>
      <c r="D628" s="18"/>
      <c r="E628" s="5"/>
      <c r="F628" s="19"/>
      <c r="G628" s="20" t="str">
        <f t="shared" si="18"/>
        <v/>
      </c>
      <c r="H628" s="18"/>
      <c r="I628" s="5"/>
      <c r="J628" s="21" t="str">
        <f t="shared" si="19"/>
        <v/>
      </c>
      <c r="K628" s="17" t="str">
        <f>IF(I628="","",MATCH($I628,Settings!$F$5:$F$46,0))</f>
        <v/>
      </c>
      <c r="L628" s="18"/>
    </row>
    <row r="629" spans="2:12" x14ac:dyDescent="0.25">
      <c r="B629" s="16"/>
      <c r="C629" s="17" t="str">
        <f>IF(B629="","",IF(AND($B629&gt;=Settings!$C$10,$B629&lt;=Settings!$C$11),"OK","ERROR"))</f>
        <v/>
      </c>
      <c r="D629" s="18"/>
      <c r="E629" s="5"/>
      <c r="F629" s="19"/>
      <c r="G629" s="20" t="str">
        <f t="shared" si="18"/>
        <v/>
      </c>
      <c r="H629" s="18"/>
      <c r="I629" s="5"/>
      <c r="J629" s="21" t="str">
        <f t="shared" si="19"/>
        <v/>
      </c>
      <c r="K629" s="17" t="str">
        <f>IF(I629="","",MATCH($I629,Settings!$F$5:$F$46,0))</f>
        <v/>
      </c>
      <c r="L629" s="18"/>
    </row>
    <row r="630" spans="2:12" x14ac:dyDescent="0.25">
      <c r="B630" s="16"/>
      <c r="C630" s="17" t="str">
        <f>IF(B630="","",IF(AND($B630&gt;=Settings!$C$10,$B630&lt;=Settings!$C$11),"OK","ERROR"))</f>
        <v/>
      </c>
      <c r="D630" s="18"/>
      <c r="E630" s="5"/>
      <c r="F630" s="19"/>
      <c r="G630" s="20" t="str">
        <f t="shared" si="18"/>
        <v/>
      </c>
      <c r="H630" s="18"/>
      <c r="I630" s="5"/>
      <c r="J630" s="21" t="str">
        <f t="shared" si="19"/>
        <v/>
      </c>
      <c r="K630" s="17" t="str">
        <f>IF(I630="","",MATCH($I630,Settings!$F$5:$F$46,0))</f>
        <v/>
      </c>
      <c r="L630" s="18"/>
    </row>
    <row r="631" spans="2:12" x14ac:dyDescent="0.25">
      <c r="B631" s="16"/>
      <c r="C631" s="17" t="str">
        <f>IF(B631="","",IF(AND($B631&gt;=Settings!$C$10,$B631&lt;=Settings!$C$11),"OK","ERROR"))</f>
        <v/>
      </c>
      <c r="D631" s="18"/>
      <c r="E631" s="5"/>
      <c r="F631" s="19"/>
      <c r="G631" s="20" t="str">
        <f t="shared" si="18"/>
        <v/>
      </c>
      <c r="H631" s="18"/>
      <c r="I631" s="5"/>
      <c r="J631" s="21" t="str">
        <f t="shared" si="19"/>
        <v/>
      </c>
      <c r="K631" s="17" t="str">
        <f>IF(I631="","",MATCH($I631,Settings!$F$5:$F$46,0))</f>
        <v/>
      </c>
      <c r="L631" s="18"/>
    </row>
    <row r="632" spans="2:12" x14ac:dyDescent="0.25">
      <c r="B632" s="16"/>
      <c r="C632" s="17" t="str">
        <f>IF(B632="","",IF(AND($B632&gt;=Settings!$C$10,$B632&lt;=Settings!$C$11),"OK","ERROR"))</f>
        <v/>
      </c>
      <c r="D632" s="18"/>
      <c r="E632" s="5"/>
      <c r="F632" s="19"/>
      <c r="G632" s="20" t="str">
        <f t="shared" si="18"/>
        <v/>
      </c>
      <c r="H632" s="18"/>
      <c r="I632" s="5"/>
      <c r="J632" s="21" t="str">
        <f t="shared" si="19"/>
        <v/>
      </c>
      <c r="K632" s="17" t="str">
        <f>IF(I632="","",MATCH($I632,Settings!$F$5:$F$46,0))</f>
        <v/>
      </c>
      <c r="L632" s="18"/>
    </row>
    <row r="633" spans="2:12" x14ac:dyDescent="0.25">
      <c r="B633" s="16"/>
      <c r="C633" s="17" t="str">
        <f>IF(B633="","",IF(AND($B633&gt;=Settings!$C$10,$B633&lt;=Settings!$C$11),"OK","ERROR"))</f>
        <v/>
      </c>
      <c r="D633" s="18"/>
      <c r="E633" s="5"/>
      <c r="F633" s="19"/>
      <c r="G633" s="20" t="str">
        <f t="shared" si="18"/>
        <v/>
      </c>
      <c r="H633" s="18"/>
      <c r="I633" s="5"/>
      <c r="J633" s="21" t="str">
        <f t="shared" si="19"/>
        <v/>
      </c>
      <c r="K633" s="17" t="str">
        <f>IF(I633="","",MATCH($I633,Settings!$F$5:$F$46,0))</f>
        <v/>
      </c>
      <c r="L633" s="18"/>
    </row>
    <row r="634" spans="2:12" x14ac:dyDescent="0.25">
      <c r="B634" s="16"/>
      <c r="C634" s="17" t="str">
        <f>IF(B634="","",IF(AND($B634&gt;=Settings!$C$10,$B634&lt;=Settings!$C$11),"OK","ERROR"))</f>
        <v/>
      </c>
      <c r="D634" s="18"/>
      <c r="E634" s="5"/>
      <c r="F634" s="19"/>
      <c r="G634" s="20" t="str">
        <f t="shared" si="18"/>
        <v/>
      </c>
      <c r="H634" s="18"/>
      <c r="I634" s="5"/>
      <c r="J634" s="21" t="str">
        <f t="shared" si="19"/>
        <v/>
      </c>
      <c r="K634" s="17" t="str">
        <f>IF(I634="","",MATCH($I634,Settings!$F$5:$F$46,0))</f>
        <v/>
      </c>
      <c r="L634" s="18"/>
    </row>
    <row r="635" spans="2:12" x14ac:dyDescent="0.25">
      <c r="B635" s="16"/>
      <c r="C635" s="17" t="str">
        <f>IF(B635="","",IF(AND($B635&gt;=Settings!$C$10,$B635&lt;=Settings!$C$11),"OK","ERROR"))</f>
        <v/>
      </c>
      <c r="D635" s="18"/>
      <c r="E635" s="5"/>
      <c r="F635" s="19"/>
      <c r="G635" s="20" t="str">
        <f t="shared" si="18"/>
        <v/>
      </c>
      <c r="H635" s="18"/>
      <c r="I635" s="5"/>
      <c r="J635" s="21" t="str">
        <f t="shared" si="19"/>
        <v/>
      </c>
      <c r="K635" s="17" t="str">
        <f>IF(I635="","",MATCH($I635,Settings!$F$5:$F$46,0))</f>
        <v/>
      </c>
      <c r="L635" s="18"/>
    </row>
    <row r="636" spans="2:12" x14ac:dyDescent="0.25">
      <c r="B636" s="16"/>
      <c r="C636" s="17" t="str">
        <f>IF(B636="","",IF(AND($B636&gt;=Settings!$C$10,$B636&lt;=Settings!$C$11),"OK","ERROR"))</f>
        <v/>
      </c>
      <c r="D636" s="18"/>
      <c r="E636" s="5"/>
      <c r="F636" s="19"/>
      <c r="G636" s="20" t="str">
        <f t="shared" si="18"/>
        <v/>
      </c>
      <c r="H636" s="18"/>
      <c r="I636" s="5"/>
      <c r="J636" s="21" t="str">
        <f t="shared" si="19"/>
        <v/>
      </c>
      <c r="K636" s="17" t="str">
        <f>IF(I636="","",MATCH($I636,Settings!$F$5:$F$46,0))</f>
        <v/>
      </c>
      <c r="L636" s="18"/>
    </row>
    <row r="637" spans="2:12" x14ac:dyDescent="0.25">
      <c r="B637" s="16"/>
      <c r="C637" s="17" t="str">
        <f>IF(B637="","",IF(AND($B637&gt;=Settings!$C$10,$B637&lt;=Settings!$C$11),"OK","ERROR"))</f>
        <v/>
      </c>
      <c r="D637" s="18"/>
      <c r="E637" s="5"/>
      <c r="F637" s="19"/>
      <c r="G637" s="20" t="str">
        <f t="shared" si="18"/>
        <v/>
      </c>
      <c r="H637" s="18"/>
      <c r="I637" s="5"/>
      <c r="J637" s="21" t="str">
        <f t="shared" si="19"/>
        <v/>
      </c>
      <c r="K637" s="17" t="str">
        <f>IF(I637="","",MATCH($I637,Settings!$F$5:$F$46,0))</f>
        <v/>
      </c>
      <c r="L637" s="18"/>
    </row>
    <row r="638" spans="2:12" x14ac:dyDescent="0.25">
      <c r="B638" s="16"/>
      <c r="C638" s="17" t="str">
        <f>IF(B638="","",IF(AND($B638&gt;=Settings!$C$10,$B638&lt;=Settings!$C$11),"OK","ERROR"))</f>
        <v/>
      </c>
      <c r="D638" s="18"/>
      <c r="E638" s="5"/>
      <c r="F638" s="19"/>
      <c r="G638" s="20" t="str">
        <f t="shared" si="18"/>
        <v/>
      </c>
      <c r="H638" s="18"/>
      <c r="I638" s="5"/>
      <c r="J638" s="21" t="str">
        <f t="shared" si="19"/>
        <v/>
      </c>
      <c r="K638" s="17" t="str">
        <f>IF(I638="","",MATCH($I638,Settings!$F$5:$F$46,0))</f>
        <v/>
      </c>
      <c r="L638" s="18"/>
    </row>
    <row r="639" spans="2:12" x14ac:dyDescent="0.25">
      <c r="B639" s="16"/>
      <c r="C639" s="17" t="str">
        <f>IF(B639="","",IF(AND($B639&gt;=Settings!$C$10,$B639&lt;=Settings!$C$11),"OK","ERROR"))</f>
        <v/>
      </c>
      <c r="D639" s="18"/>
      <c r="E639" s="5"/>
      <c r="F639" s="19"/>
      <c r="G639" s="20" t="str">
        <f t="shared" si="18"/>
        <v/>
      </c>
      <c r="H639" s="18"/>
      <c r="I639" s="5"/>
      <c r="J639" s="21" t="str">
        <f t="shared" si="19"/>
        <v/>
      </c>
      <c r="K639" s="17" t="str">
        <f>IF(I639="","",MATCH($I639,Settings!$F$5:$F$46,0))</f>
        <v/>
      </c>
      <c r="L639" s="18"/>
    </row>
    <row r="640" spans="2:12" x14ac:dyDescent="0.25">
      <c r="B640" s="16"/>
      <c r="C640" s="17" t="str">
        <f>IF(B640="","",IF(AND($B640&gt;=Settings!$C$10,$B640&lt;=Settings!$C$11),"OK","ERROR"))</f>
        <v/>
      </c>
      <c r="D640" s="18"/>
      <c r="E640" s="5"/>
      <c r="F640" s="19"/>
      <c r="G640" s="20" t="str">
        <f t="shared" si="18"/>
        <v/>
      </c>
      <c r="H640" s="18"/>
      <c r="I640" s="5"/>
      <c r="J640" s="21" t="str">
        <f t="shared" si="19"/>
        <v/>
      </c>
      <c r="K640" s="17" t="str">
        <f>IF(I640="","",MATCH($I640,Settings!$F$5:$F$46,0))</f>
        <v/>
      </c>
      <c r="L640" s="18"/>
    </row>
    <row r="641" spans="2:12" x14ac:dyDescent="0.25">
      <c r="B641" s="16"/>
      <c r="C641" s="17" t="str">
        <f>IF(B641="","",IF(AND($B641&gt;=Settings!$C$10,$B641&lt;=Settings!$C$11),"OK","ERROR"))</f>
        <v/>
      </c>
      <c r="D641" s="18"/>
      <c r="E641" s="5"/>
      <c r="F641" s="19"/>
      <c r="G641" s="20" t="str">
        <f t="shared" si="18"/>
        <v/>
      </c>
      <c r="H641" s="18"/>
      <c r="I641" s="5"/>
      <c r="J641" s="21" t="str">
        <f t="shared" si="19"/>
        <v/>
      </c>
      <c r="K641" s="17" t="str">
        <f>IF(I641="","",MATCH($I641,Settings!$F$5:$F$46,0))</f>
        <v/>
      </c>
      <c r="L641" s="18"/>
    </row>
    <row r="642" spans="2:12" x14ac:dyDescent="0.25">
      <c r="B642" s="16"/>
      <c r="C642" s="17" t="str">
        <f>IF(B642="","",IF(AND($B642&gt;=Settings!$C$10,$B642&lt;=Settings!$C$11),"OK","ERROR"))</f>
        <v/>
      </c>
      <c r="D642" s="18"/>
      <c r="E642" s="5"/>
      <c r="F642" s="19"/>
      <c r="G642" s="20" t="str">
        <f t="shared" si="18"/>
        <v/>
      </c>
      <c r="H642" s="18"/>
      <c r="I642" s="5"/>
      <c r="J642" s="21" t="str">
        <f t="shared" si="19"/>
        <v/>
      </c>
      <c r="K642" s="17" t="str">
        <f>IF(I642="","",MATCH($I642,Settings!$F$5:$F$46,0))</f>
        <v/>
      </c>
      <c r="L642" s="18"/>
    </row>
    <row r="643" spans="2:12" x14ac:dyDescent="0.25">
      <c r="B643" s="16"/>
      <c r="C643" s="17" t="str">
        <f>IF(B643="","",IF(AND($B643&gt;=Settings!$C$10,$B643&lt;=Settings!$C$11),"OK","ERROR"))</f>
        <v/>
      </c>
      <c r="D643" s="18"/>
      <c r="E643" s="5"/>
      <c r="F643" s="19"/>
      <c r="G643" s="20" t="str">
        <f t="shared" si="18"/>
        <v/>
      </c>
      <c r="H643" s="18"/>
      <c r="I643" s="5"/>
      <c r="J643" s="21" t="str">
        <f t="shared" si="19"/>
        <v/>
      </c>
      <c r="K643" s="17" t="str">
        <f>IF(I643="","",MATCH($I643,Settings!$F$5:$F$46,0))</f>
        <v/>
      </c>
      <c r="L643" s="18"/>
    </row>
    <row r="644" spans="2:12" x14ac:dyDescent="0.25">
      <c r="B644" s="16"/>
      <c r="C644" s="17" t="str">
        <f>IF(B644="","",IF(AND($B644&gt;=Settings!$C$10,$B644&lt;=Settings!$C$11),"OK","ERROR"))</f>
        <v/>
      </c>
      <c r="D644" s="18"/>
      <c r="E644" s="5"/>
      <c r="F644" s="19"/>
      <c r="G644" s="20" t="str">
        <f t="shared" si="18"/>
        <v/>
      </c>
      <c r="H644" s="18"/>
      <c r="I644" s="5"/>
      <c r="J644" s="21" t="str">
        <f t="shared" si="19"/>
        <v/>
      </c>
      <c r="K644" s="17" t="str">
        <f>IF(I644="","",MATCH($I644,Settings!$F$5:$F$46,0))</f>
        <v/>
      </c>
      <c r="L644" s="18"/>
    </row>
    <row r="645" spans="2:12" x14ac:dyDescent="0.25">
      <c r="B645" s="16"/>
      <c r="C645" s="17" t="str">
        <f>IF(B645="","",IF(AND($B645&gt;=Settings!$C$10,$B645&lt;=Settings!$C$11),"OK","ERROR"))</f>
        <v/>
      </c>
      <c r="D645" s="18"/>
      <c r="E645" s="5"/>
      <c r="F645" s="19"/>
      <c r="G645" s="20" t="str">
        <f t="shared" si="18"/>
        <v/>
      </c>
      <c r="H645" s="18"/>
      <c r="I645" s="5"/>
      <c r="J645" s="21" t="str">
        <f t="shared" si="19"/>
        <v/>
      </c>
      <c r="K645" s="17" t="str">
        <f>IF(I645="","",MATCH($I645,Settings!$F$5:$F$46,0))</f>
        <v/>
      </c>
      <c r="L645" s="18"/>
    </row>
    <row r="646" spans="2:12" x14ac:dyDescent="0.25">
      <c r="B646" s="16"/>
      <c r="C646" s="17" t="str">
        <f>IF(B646="","",IF(AND($B646&gt;=Settings!$C$10,$B646&lt;=Settings!$C$11),"OK","ERROR"))</f>
        <v/>
      </c>
      <c r="D646" s="18"/>
      <c r="E646" s="5"/>
      <c r="F646" s="19"/>
      <c r="G646" s="20" t="str">
        <f t="shared" ref="G646:G709" si="20">IF(F646="","",IF(I646&lt;&gt;"","OK","ERROR"))</f>
        <v/>
      </c>
      <c r="H646" s="18"/>
      <c r="I646" s="5"/>
      <c r="J646" s="21" t="str">
        <f t="shared" si="19"/>
        <v/>
      </c>
      <c r="K646" s="17" t="str">
        <f>IF(I646="","",MATCH($I646,Settings!$F$5:$F$46,0))</f>
        <v/>
      </c>
      <c r="L646" s="18"/>
    </row>
    <row r="647" spans="2:12" x14ac:dyDescent="0.25">
      <c r="B647" s="16"/>
      <c r="C647" s="17" t="str">
        <f>IF(B647="","",IF(AND($B647&gt;=Settings!$C$10,$B647&lt;=Settings!$C$11),"OK","ERROR"))</f>
        <v/>
      </c>
      <c r="D647" s="18"/>
      <c r="E647" s="5"/>
      <c r="F647" s="19"/>
      <c r="G647" s="20" t="str">
        <f t="shared" si="20"/>
        <v/>
      </c>
      <c r="H647" s="18"/>
      <c r="I647" s="5"/>
      <c r="J647" s="21" t="str">
        <f t="shared" ref="J647:J710" si="21">IF(I647="","",IF(ISERROR($K647)=TRUE,"ERROR","OK"))</f>
        <v/>
      </c>
      <c r="K647" s="17" t="str">
        <f>IF(I647="","",MATCH($I647,Settings!$F$5:$F$46,0))</f>
        <v/>
      </c>
      <c r="L647" s="18"/>
    </row>
    <row r="648" spans="2:12" x14ac:dyDescent="0.25">
      <c r="B648" s="16"/>
      <c r="C648" s="17" t="str">
        <f>IF(B648="","",IF(AND($B648&gt;=Settings!$C$10,$B648&lt;=Settings!$C$11),"OK","ERROR"))</f>
        <v/>
      </c>
      <c r="D648" s="18"/>
      <c r="E648" s="5"/>
      <c r="F648" s="19"/>
      <c r="G648" s="20" t="str">
        <f t="shared" si="20"/>
        <v/>
      </c>
      <c r="H648" s="18"/>
      <c r="I648" s="5"/>
      <c r="J648" s="21" t="str">
        <f t="shared" si="21"/>
        <v/>
      </c>
      <c r="K648" s="17" t="str">
        <f>IF(I648="","",MATCH($I648,Settings!$F$5:$F$46,0))</f>
        <v/>
      </c>
      <c r="L648" s="18"/>
    </row>
    <row r="649" spans="2:12" x14ac:dyDescent="0.25">
      <c r="B649" s="16"/>
      <c r="C649" s="17" t="str">
        <f>IF(B649="","",IF(AND($B649&gt;=Settings!$C$10,$B649&lt;=Settings!$C$11),"OK","ERROR"))</f>
        <v/>
      </c>
      <c r="D649" s="18"/>
      <c r="E649" s="5"/>
      <c r="F649" s="19"/>
      <c r="G649" s="20" t="str">
        <f t="shared" si="20"/>
        <v/>
      </c>
      <c r="H649" s="18"/>
      <c r="I649" s="5"/>
      <c r="J649" s="21" t="str">
        <f t="shared" si="21"/>
        <v/>
      </c>
      <c r="K649" s="17" t="str">
        <f>IF(I649="","",MATCH($I649,Settings!$F$5:$F$46,0))</f>
        <v/>
      </c>
      <c r="L649" s="18"/>
    </row>
    <row r="650" spans="2:12" x14ac:dyDescent="0.25">
      <c r="B650" s="16"/>
      <c r="C650" s="17" t="str">
        <f>IF(B650="","",IF(AND($B650&gt;=Settings!$C$10,$B650&lt;=Settings!$C$11),"OK","ERROR"))</f>
        <v/>
      </c>
      <c r="D650" s="18"/>
      <c r="E650" s="5"/>
      <c r="F650" s="19"/>
      <c r="G650" s="20" t="str">
        <f t="shared" si="20"/>
        <v/>
      </c>
      <c r="H650" s="18"/>
      <c r="I650" s="5"/>
      <c r="J650" s="21" t="str">
        <f t="shared" si="21"/>
        <v/>
      </c>
      <c r="K650" s="17" t="str">
        <f>IF(I650="","",MATCH($I650,Settings!$F$5:$F$46,0))</f>
        <v/>
      </c>
      <c r="L650" s="18"/>
    </row>
    <row r="651" spans="2:12" x14ac:dyDescent="0.25">
      <c r="B651" s="16"/>
      <c r="C651" s="17" t="str">
        <f>IF(B651="","",IF(AND($B651&gt;=Settings!$C$10,$B651&lt;=Settings!$C$11),"OK","ERROR"))</f>
        <v/>
      </c>
      <c r="D651" s="18"/>
      <c r="E651" s="5"/>
      <c r="F651" s="19"/>
      <c r="G651" s="20" t="str">
        <f t="shared" si="20"/>
        <v/>
      </c>
      <c r="H651" s="18"/>
      <c r="I651" s="5"/>
      <c r="J651" s="21" t="str">
        <f t="shared" si="21"/>
        <v/>
      </c>
      <c r="K651" s="17" t="str">
        <f>IF(I651="","",MATCH($I651,Settings!$F$5:$F$46,0))</f>
        <v/>
      </c>
      <c r="L651" s="18"/>
    </row>
    <row r="652" spans="2:12" x14ac:dyDescent="0.25">
      <c r="B652" s="16"/>
      <c r="C652" s="17" t="str">
        <f>IF(B652="","",IF(AND($B652&gt;=Settings!$C$10,$B652&lt;=Settings!$C$11),"OK","ERROR"))</f>
        <v/>
      </c>
      <c r="D652" s="18"/>
      <c r="E652" s="5"/>
      <c r="F652" s="19"/>
      <c r="G652" s="20" t="str">
        <f t="shared" si="20"/>
        <v/>
      </c>
      <c r="H652" s="18"/>
      <c r="I652" s="5"/>
      <c r="J652" s="21" t="str">
        <f t="shared" si="21"/>
        <v/>
      </c>
      <c r="K652" s="17" t="str">
        <f>IF(I652="","",MATCH($I652,Settings!$F$5:$F$46,0))</f>
        <v/>
      </c>
      <c r="L652" s="18"/>
    </row>
    <row r="653" spans="2:12" x14ac:dyDescent="0.25">
      <c r="B653" s="16"/>
      <c r="C653" s="17" t="str">
        <f>IF(B653="","",IF(AND($B653&gt;=Settings!$C$10,$B653&lt;=Settings!$C$11),"OK","ERROR"))</f>
        <v/>
      </c>
      <c r="D653" s="18"/>
      <c r="E653" s="5"/>
      <c r="F653" s="19"/>
      <c r="G653" s="20" t="str">
        <f t="shared" si="20"/>
        <v/>
      </c>
      <c r="H653" s="18"/>
      <c r="I653" s="5"/>
      <c r="J653" s="21" t="str">
        <f t="shared" si="21"/>
        <v/>
      </c>
      <c r="K653" s="17" t="str">
        <f>IF(I653="","",MATCH($I653,Settings!$F$5:$F$46,0))</f>
        <v/>
      </c>
      <c r="L653" s="18"/>
    </row>
    <row r="654" spans="2:12" x14ac:dyDescent="0.25">
      <c r="B654" s="16"/>
      <c r="C654" s="17" t="str">
        <f>IF(B654="","",IF(AND($B654&gt;=Settings!$C$10,$B654&lt;=Settings!$C$11),"OK","ERROR"))</f>
        <v/>
      </c>
      <c r="D654" s="18"/>
      <c r="E654" s="5"/>
      <c r="F654" s="19"/>
      <c r="G654" s="20" t="str">
        <f t="shared" si="20"/>
        <v/>
      </c>
      <c r="H654" s="18"/>
      <c r="I654" s="5"/>
      <c r="J654" s="21" t="str">
        <f t="shared" si="21"/>
        <v/>
      </c>
      <c r="K654" s="17" t="str">
        <f>IF(I654="","",MATCH($I654,Settings!$F$5:$F$46,0))</f>
        <v/>
      </c>
      <c r="L654" s="18"/>
    </row>
    <row r="655" spans="2:12" x14ac:dyDescent="0.25">
      <c r="B655" s="16"/>
      <c r="C655" s="17" t="str">
        <f>IF(B655="","",IF(AND($B655&gt;=Settings!$C$10,$B655&lt;=Settings!$C$11),"OK","ERROR"))</f>
        <v/>
      </c>
      <c r="D655" s="18"/>
      <c r="E655" s="5"/>
      <c r="F655" s="19"/>
      <c r="G655" s="20" t="str">
        <f t="shared" si="20"/>
        <v/>
      </c>
      <c r="H655" s="18"/>
      <c r="I655" s="5"/>
      <c r="J655" s="21" t="str">
        <f t="shared" si="21"/>
        <v/>
      </c>
      <c r="K655" s="17" t="str">
        <f>IF(I655="","",MATCH($I655,Settings!$F$5:$F$46,0))</f>
        <v/>
      </c>
      <c r="L655" s="18"/>
    </row>
    <row r="656" spans="2:12" x14ac:dyDescent="0.25">
      <c r="B656" s="16"/>
      <c r="C656" s="17" t="str">
        <f>IF(B656="","",IF(AND($B656&gt;=Settings!$C$10,$B656&lt;=Settings!$C$11),"OK","ERROR"))</f>
        <v/>
      </c>
      <c r="D656" s="18"/>
      <c r="E656" s="5"/>
      <c r="F656" s="19"/>
      <c r="G656" s="20" t="str">
        <f t="shared" si="20"/>
        <v/>
      </c>
      <c r="H656" s="18"/>
      <c r="I656" s="5"/>
      <c r="J656" s="21" t="str">
        <f t="shared" si="21"/>
        <v/>
      </c>
      <c r="K656" s="17" t="str">
        <f>IF(I656="","",MATCH($I656,Settings!$F$5:$F$46,0))</f>
        <v/>
      </c>
      <c r="L656" s="18"/>
    </row>
    <row r="657" spans="2:12" x14ac:dyDescent="0.25">
      <c r="B657" s="16"/>
      <c r="C657" s="17" t="str">
        <f>IF(B657="","",IF(AND($B657&gt;=Settings!$C$10,$B657&lt;=Settings!$C$11),"OK","ERROR"))</f>
        <v/>
      </c>
      <c r="D657" s="18"/>
      <c r="E657" s="5"/>
      <c r="F657" s="19"/>
      <c r="G657" s="20" t="str">
        <f t="shared" si="20"/>
        <v/>
      </c>
      <c r="H657" s="18"/>
      <c r="I657" s="5"/>
      <c r="J657" s="21" t="str">
        <f t="shared" si="21"/>
        <v/>
      </c>
      <c r="K657" s="17" t="str">
        <f>IF(I657="","",MATCH($I657,Settings!$F$5:$F$46,0))</f>
        <v/>
      </c>
      <c r="L657" s="18"/>
    </row>
    <row r="658" spans="2:12" x14ac:dyDescent="0.25">
      <c r="B658" s="16"/>
      <c r="C658" s="17" t="str">
        <f>IF(B658="","",IF(AND($B658&gt;=Settings!$C$10,$B658&lt;=Settings!$C$11),"OK","ERROR"))</f>
        <v/>
      </c>
      <c r="D658" s="18"/>
      <c r="E658" s="5"/>
      <c r="F658" s="19"/>
      <c r="G658" s="20" t="str">
        <f t="shared" si="20"/>
        <v/>
      </c>
      <c r="H658" s="18"/>
      <c r="I658" s="5"/>
      <c r="J658" s="21" t="str">
        <f t="shared" si="21"/>
        <v/>
      </c>
      <c r="K658" s="17" t="str">
        <f>IF(I658="","",MATCH($I658,Settings!$F$5:$F$46,0))</f>
        <v/>
      </c>
      <c r="L658" s="18"/>
    </row>
    <row r="659" spans="2:12" x14ac:dyDescent="0.25">
      <c r="B659" s="16"/>
      <c r="C659" s="17" t="str">
        <f>IF(B659="","",IF(AND($B659&gt;=Settings!$C$10,$B659&lt;=Settings!$C$11),"OK","ERROR"))</f>
        <v/>
      </c>
      <c r="D659" s="18"/>
      <c r="E659" s="5"/>
      <c r="F659" s="19"/>
      <c r="G659" s="20" t="str">
        <f t="shared" si="20"/>
        <v/>
      </c>
      <c r="H659" s="18"/>
      <c r="I659" s="5"/>
      <c r="J659" s="21" t="str">
        <f t="shared" si="21"/>
        <v/>
      </c>
      <c r="K659" s="17" t="str">
        <f>IF(I659="","",MATCH($I659,Settings!$F$5:$F$46,0))</f>
        <v/>
      </c>
      <c r="L659" s="18"/>
    </row>
    <row r="660" spans="2:12" x14ac:dyDescent="0.25">
      <c r="B660" s="16"/>
      <c r="C660" s="17" t="str">
        <f>IF(B660="","",IF(AND($B660&gt;=Settings!$C$10,$B660&lt;=Settings!$C$11),"OK","ERROR"))</f>
        <v/>
      </c>
      <c r="D660" s="18"/>
      <c r="E660" s="5"/>
      <c r="F660" s="19"/>
      <c r="G660" s="20" t="str">
        <f t="shared" si="20"/>
        <v/>
      </c>
      <c r="H660" s="18"/>
      <c r="I660" s="5"/>
      <c r="J660" s="21" t="str">
        <f t="shared" si="21"/>
        <v/>
      </c>
      <c r="K660" s="17" t="str">
        <f>IF(I660="","",MATCH($I660,Settings!$F$5:$F$46,0))</f>
        <v/>
      </c>
      <c r="L660" s="18"/>
    </row>
    <row r="661" spans="2:12" x14ac:dyDescent="0.25">
      <c r="B661" s="16"/>
      <c r="C661" s="17" t="str">
        <f>IF(B661="","",IF(AND($B661&gt;=Settings!$C$10,$B661&lt;=Settings!$C$11),"OK","ERROR"))</f>
        <v/>
      </c>
      <c r="D661" s="18"/>
      <c r="E661" s="5"/>
      <c r="F661" s="19"/>
      <c r="G661" s="20" t="str">
        <f t="shared" si="20"/>
        <v/>
      </c>
      <c r="H661" s="18"/>
      <c r="I661" s="5"/>
      <c r="J661" s="21" t="str">
        <f t="shared" si="21"/>
        <v/>
      </c>
      <c r="K661" s="17" t="str">
        <f>IF(I661="","",MATCH($I661,Settings!$F$5:$F$46,0))</f>
        <v/>
      </c>
      <c r="L661" s="18"/>
    </row>
    <row r="662" spans="2:12" x14ac:dyDescent="0.25">
      <c r="B662" s="16"/>
      <c r="C662" s="17" t="str">
        <f>IF(B662="","",IF(AND($B662&gt;=Settings!$C$10,$B662&lt;=Settings!$C$11),"OK","ERROR"))</f>
        <v/>
      </c>
      <c r="D662" s="18"/>
      <c r="E662" s="5"/>
      <c r="F662" s="19"/>
      <c r="G662" s="20" t="str">
        <f t="shared" si="20"/>
        <v/>
      </c>
      <c r="H662" s="18"/>
      <c r="I662" s="5"/>
      <c r="J662" s="21" t="str">
        <f t="shared" si="21"/>
        <v/>
      </c>
      <c r="K662" s="17" t="str">
        <f>IF(I662="","",MATCH($I662,Settings!$F$5:$F$46,0))</f>
        <v/>
      </c>
      <c r="L662" s="18"/>
    </row>
    <row r="663" spans="2:12" x14ac:dyDescent="0.25">
      <c r="B663" s="16"/>
      <c r="C663" s="17" t="str">
        <f>IF(B663="","",IF(AND($B663&gt;=Settings!$C$10,$B663&lt;=Settings!$C$11),"OK","ERROR"))</f>
        <v/>
      </c>
      <c r="D663" s="18"/>
      <c r="E663" s="5"/>
      <c r="F663" s="19"/>
      <c r="G663" s="20" t="str">
        <f t="shared" si="20"/>
        <v/>
      </c>
      <c r="H663" s="18"/>
      <c r="I663" s="5"/>
      <c r="J663" s="21" t="str">
        <f t="shared" si="21"/>
        <v/>
      </c>
      <c r="K663" s="17" t="str">
        <f>IF(I663="","",MATCH($I663,Settings!$F$5:$F$46,0))</f>
        <v/>
      </c>
      <c r="L663" s="18"/>
    </row>
    <row r="664" spans="2:12" x14ac:dyDescent="0.25">
      <c r="B664" s="16"/>
      <c r="C664" s="17" t="str">
        <f>IF(B664="","",IF(AND($B664&gt;=Settings!$C$10,$B664&lt;=Settings!$C$11),"OK","ERROR"))</f>
        <v/>
      </c>
      <c r="D664" s="18"/>
      <c r="E664" s="5"/>
      <c r="F664" s="19"/>
      <c r="G664" s="20" t="str">
        <f t="shared" si="20"/>
        <v/>
      </c>
      <c r="H664" s="18"/>
      <c r="I664" s="5"/>
      <c r="J664" s="21" t="str">
        <f t="shared" si="21"/>
        <v/>
      </c>
      <c r="K664" s="17" t="str">
        <f>IF(I664="","",MATCH($I664,Settings!$F$5:$F$46,0))</f>
        <v/>
      </c>
      <c r="L664" s="18"/>
    </row>
    <row r="665" spans="2:12" x14ac:dyDescent="0.25">
      <c r="B665" s="16"/>
      <c r="C665" s="17" t="str">
        <f>IF(B665="","",IF(AND($B665&gt;=Settings!$C$10,$B665&lt;=Settings!$C$11),"OK","ERROR"))</f>
        <v/>
      </c>
      <c r="D665" s="18"/>
      <c r="E665" s="5"/>
      <c r="F665" s="19"/>
      <c r="G665" s="20" t="str">
        <f t="shared" si="20"/>
        <v/>
      </c>
      <c r="H665" s="18"/>
      <c r="I665" s="5"/>
      <c r="J665" s="21" t="str">
        <f t="shared" si="21"/>
        <v/>
      </c>
      <c r="K665" s="17" t="str">
        <f>IF(I665="","",MATCH($I665,Settings!$F$5:$F$46,0))</f>
        <v/>
      </c>
      <c r="L665" s="18"/>
    </row>
    <row r="666" spans="2:12" x14ac:dyDescent="0.25">
      <c r="B666" s="16"/>
      <c r="C666" s="17" t="str">
        <f>IF(B666="","",IF(AND($B666&gt;=Settings!$C$10,$B666&lt;=Settings!$C$11),"OK","ERROR"))</f>
        <v/>
      </c>
      <c r="D666" s="18"/>
      <c r="E666" s="5"/>
      <c r="F666" s="19"/>
      <c r="G666" s="20" t="str">
        <f t="shared" si="20"/>
        <v/>
      </c>
      <c r="H666" s="18"/>
      <c r="I666" s="5"/>
      <c r="J666" s="21" t="str">
        <f t="shared" si="21"/>
        <v/>
      </c>
      <c r="K666" s="17" t="str">
        <f>IF(I666="","",MATCH($I666,Settings!$F$5:$F$46,0))</f>
        <v/>
      </c>
      <c r="L666" s="18"/>
    </row>
    <row r="667" spans="2:12" x14ac:dyDescent="0.25">
      <c r="B667" s="16"/>
      <c r="C667" s="17" t="str">
        <f>IF(B667="","",IF(AND($B667&gt;=Settings!$C$10,$B667&lt;=Settings!$C$11),"OK","ERROR"))</f>
        <v/>
      </c>
      <c r="D667" s="18"/>
      <c r="E667" s="5"/>
      <c r="F667" s="19"/>
      <c r="G667" s="20" t="str">
        <f t="shared" si="20"/>
        <v/>
      </c>
      <c r="H667" s="18"/>
      <c r="I667" s="5"/>
      <c r="J667" s="21" t="str">
        <f t="shared" si="21"/>
        <v/>
      </c>
      <c r="K667" s="17" t="str">
        <f>IF(I667="","",MATCH($I667,Settings!$F$5:$F$46,0))</f>
        <v/>
      </c>
      <c r="L667" s="18"/>
    </row>
    <row r="668" spans="2:12" x14ac:dyDescent="0.25">
      <c r="B668" s="16"/>
      <c r="C668" s="17" t="str">
        <f>IF(B668="","",IF(AND($B668&gt;=Settings!$C$10,$B668&lt;=Settings!$C$11),"OK","ERROR"))</f>
        <v/>
      </c>
      <c r="D668" s="18"/>
      <c r="E668" s="5"/>
      <c r="F668" s="19"/>
      <c r="G668" s="20" t="str">
        <f t="shared" si="20"/>
        <v/>
      </c>
      <c r="H668" s="18"/>
      <c r="I668" s="5"/>
      <c r="J668" s="21" t="str">
        <f t="shared" si="21"/>
        <v/>
      </c>
      <c r="K668" s="17" t="str">
        <f>IF(I668="","",MATCH($I668,Settings!$F$5:$F$46,0))</f>
        <v/>
      </c>
      <c r="L668" s="18"/>
    </row>
    <row r="669" spans="2:12" x14ac:dyDescent="0.25">
      <c r="B669" s="16"/>
      <c r="C669" s="17" t="str">
        <f>IF(B669="","",IF(AND($B669&gt;=Settings!$C$10,$B669&lt;=Settings!$C$11),"OK","ERROR"))</f>
        <v/>
      </c>
      <c r="D669" s="18"/>
      <c r="E669" s="5"/>
      <c r="F669" s="19"/>
      <c r="G669" s="20" t="str">
        <f t="shared" si="20"/>
        <v/>
      </c>
      <c r="H669" s="18"/>
      <c r="I669" s="5"/>
      <c r="J669" s="21" t="str">
        <f t="shared" si="21"/>
        <v/>
      </c>
      <c r="K669" s="17" t="str">
        <f>IF(I669="","",MATCH($I669,Settings!$F$5:$F$46,0))</f>
        <v/>
      </c>
      <c r="L669" s="18"/>
    </row>
    <row r="670" spans="2:12" x14ac:dyDescent="0.25">
      <c r="B670" s="16"/>
      <c r="C670" s="17" t="str">
        <f>IF(B670="","",IF(AND($B670&gt;=Settings!$C$10,$B670&lt;=Settings!$C$11),"OK","ERROR"))</f>
        <v/>
      </c>
      <c r="D670" s="18"/>
      <c r="E670" s="5"/>
      <c r="F670" s="19"/>
      <c r="G670" s="20" t="str">
        <f t="shared" si="20"/>
        <v/>
      </c>
      <c r="H670" s="18"/>
      <c r="I670" s="5"/>
      <c r="J670" s="21" t="str">
        <f t="shared" si="21"/>
        <v/>
      </c>
      <c r="K670" s="17" t="str">
        <f>IF(I670="","",MATCH($I670,Settings!$F$5:$F$46,0))</f>
        <v/>
      </c>
      <c r="L670" s="18"/>
    </row>
    <row r="671" spans="2:12" x14ac:dyDescent="0.25">
      <c r="B671" s="16"/>
      <c r="C671" s="17" t="str">
        <f>IF(B671="","",IF(AND($B671&gt;=Settings!$C$10,$B671&lt;=Settings!$C$11),"OK","ERROR"))</f>
        <v/>
      </c>
      <c r="D671" s="18"/>
      <c r="E671" s="5"/>
      <c r="F671" s="19"/>
      <c r="G671" s="20" t="str">
        <f t="shared" si="20"/>
        <v/>
      </c>
      <c r="H671" s="18"/>
      <c r="I671" s="5"/>
      <c r="J671" s="21" t="str">
        <f t="shared" si="21"/>
        <v/>
      </c>
      <c r="K671" s="17" t="str">
        <f>IF(I671="","",MATCH($I671,Settings!$F$5:$F$46,0))</f>
        <v/>
      </c>
      <c r="L671" s="18"/>
    </row>
    <row r="672" spans="2:12" x14ac:dyDescent="0.25">
      <c r="B672" s="16"/>
      <c r="C672" s="17" t="str">
        <f>IF(B672="","",IF(AND($B672&gt;=Settings!$C$10,$B672&lt;=Settings!$C$11),"OK","ERROR"))</f>
        <v/>
      </c>
      <c r="D672" s="18"/>
      <c r="E672" s="5"/>
      <c r="F672" s="19"/>
      <c r="G672" s="20" t="str">
        <f t="shared" si="20"/>
        <v/>
      </c>
      <c r="H672" s="18"/>
      <c r="I672" s="5"/>
      <c r="J672" s="21" t="str">
        <f t="shared" si="21"/>
        <v/>
      </c>
      <c r="K672" s="17" t="str">
        <f>IF(I672="","",MATCH($I672,Settings!$F$5:$F$46,0))</f>
        <v/>
      </c>
      <c r="L672" s="18"/>
    </row>
    <row r="673" spans="2:12" x14ac:dyDescent="0.25">
      <c r="B673" s="16"/>
      <c r="C673" s="17" t="str">
        <f>IF(B673="","",IF(AND($B673&gt;=Settings!$C$10,$B673&lt;=Settings!$C$11),"OK","ERROR"))</f>
        <v/>
      </c>
      <c r="D673" s="18"/>
      <c r="E673" s="5"/>
      <c r="F673" s="19"/>
      <c r="G673" s="20" t="str">
        <f t="shared" si="20"/>
        <v/>
      </c>
      <c r="H673" s="18"/>
      <c r="I673" s="5"/>
      <c r="J673" s="21" t="str">
        <f t="shared" si="21"/>
        <v/>
      </c>
      <c r="K673" s="17" t="str">
        <f>IF(I673="","",MATCH($I673,Settings!$F$5:$F$46,0))</f>
        <v/>
      </c>
      <c r="L673" s="18"/>
    </row>
    <row r="674" spans="2:12" x14ac:dyDescent="0.25">
      <c r="B674" s="16"/>
      <c r="C674" s="17" t="str">
        <f>IF(B674="","",IF(AND($B674&gt;=Settings!$C$10,$B674&lt;=Settings!$C$11),"OK","ERROR"))</f>
        <v/>
      </c>
      <c r="D674" s="18"/>
      <c r="E674" s="5"/>
      <c r="F674" s="19"/>
      <c r="G674" s="20" t="str">
        <f t="shared" si="20"/>
        <v/>
      </c>
      <c r="H674" s="18"/>
      <c r="I674" s="5"/>
      <c r="J674" s="21" t="str">
        <f t="shared" si="21"/>
        <v/>
      </c>
      <c r="K674" s="17" t="str">
        <f>IF(I674="","",MATCH($I674,Settings!$F$5:$F$46,0))</f>
        <v/>
      </c>
      <c r="L674" s="18"/>
    </row>
    <row r="675" spans="2:12" x14ac:dyDescent="0.25">
      <c r="B675" s="16"/>
      <c r="C675" s="17" t="str">
        <f>IF(B675="","",IF(AND($B675&gt;=Settings!$C$10,$B675&lt;=Settings!$C$11),"OK","ERROR"))</f>
        <v/>
      </c>
      <c r="D675" s="18"/>
      <c r="E675" s="5"/>
      <c r="F675" s="19"/>
      <c r="G675" s="20" t="str">
        <f t="shared" si="20"/>
        <v/>
      </c>
      <c r="H675" s="18"/>
      <c r="I675" s="5"/>
      <c r="J675" s="21" t="str">
        <f t="shared" si="21"/>
        <v/>
      </c>
      <c r="K675" s="17" t="str">
        <f>IF(I675="","",MATCH($I675,Settings!$F$5:$F$46,0))</f>
        <v/>
      </c>
      <c r="L675" s="18"/>
    </row>
    <row r="676" spans="2:12" x14ac:dyDescent="0.25">
      <c r="B676" s="16"/>
      <c r="C676" s="17" t="str">
        <f>IF(B676="","",IF(AND($B676&gt;=Settings!$C$10,$B676&lt;=Settings!$C$11),"OK","ERROR"))</f>
        <v/>
      </c>
      <c r="D676" s="18"/>
      <c r="E676" s="5"/>
      <c r="F676" s="19"/>
      <c r="G676" s="20" t="str">
        <f t="shared" si="20"/>
        <v/>
      </c>
      <c r="H676" s="18"/>
      <c r="I676" s="5"/>
      <c r="J676" s="21" t="str">
        <f t="shared" si="21"/>
        <v/>
      </c>
      <c r="K676" s="17" t="str">
        <f>IF(I676="","",MATCH($I676,Settings!$F$5:$F$46,0))</f>
        <v/>
      </c>
      <c r="L676" s="18"/>
    </row>
    <row r="677" spans="2:12" x14ac:dyDescent="0.25">
      <c r="B677" s="16"/>
      <c r="C677" s="17" t="str">
        <f>IF(B677="","",IF(AND($B677&gt;=Settings!$C$10,$B677&lt;=Settings!$C$11),"OK","ERROR"))</f>
        <v/>
      </c>
      <c r="D677" s="18"/>
      <c r="E677" s="5"/>
      <c r="F677" s="19"/>
      <c r="G677" s="20" t="str">
        <f t="shared" si="20"/>
        <v/>
      </c>
      <c r="H677" s="18"/>
      <c r="I677" s="5"/>
      <c r="J677" s="21" t="str">
        <f t="shared" si="21"/>
        <v/>
      </c>
      <c r="K677" s="17" t="str">
        <f>IF(I677="","",MATCH($I677,Settings!$F$5:$F$46,0))</f>
        <v/>
      </c>
      <c r="L677" s="18"/>
    </row>
    <row r="678" spans="2:12" x14ac:dyDescent="0.25">
      <c r="B678" s="16"/>
      <c r="C678" s="17" t="str">
        <f>IF(B678="","",IF(AND($B678&gt;=Settings!$C$10,$B678&lt;=Settings!$C$11),"OK","ERROR"))</f>
        <v/>
      </c>
      <c r="D678" s="18"/>
      <c r="E678" s="5"/>
      <c r="F678" s="19"/>
      <c r="G678" s="20" t="str">
        <f t="shared" si="20"/>
        <v/>
      </c>
      <c r="H678" s="18"/>
      <c r="I678" s="5"/>
      <c r="J678" s="21" t="str">
        <f t="shared" si="21"/>
        <v/>
      </c>
      <c r="K678" s="17" t="str">
        <f>IF(I678="","",MATCH($I678,Settings!$F$5:$F$46,0))</f>
        <v/>
      </c>
      <c r="L678" s="18"/>
    </row>
    <row r="679" spans="2:12" x14ac:dyDescent="0.25">
      <c r="B679" s="16"/>
      <c r="C679" s="17" t="str">
        <f>IF(B679="","",IF(AND($B679&gt;=Settings!$C$10,$B679&lt;=Settings!$C$11),"OK","ERROR"))</f>
        <v/>
      </c>
      <c r="D679" s="18"/>
      <c r="E679" s="5"/>
      <c r="F679" s="19"/>
      <c r="G679" s="20" t="str">
        <f t="shared" si="20"/>
        <v/>
      </c>
      <c r="H679" s="18"/>
      <c r="I679" s="5"/>
      <c r="J679" s="21" t="str">
        <f t="shared" si="21"/>
        <v/>
      </c>
      <c r="K679" s="17" t="str">
        <f>IF(I679="","",MATCH($I679,Settings!$F$5:$F$46,0))</f>
        <v/>
      </c>
      <c r="L679" s="18"/>
    </row>
    <row r="680" spans="2:12" x14ac:dyDescent="0.25">
      <c r="B680" s="16"/>
      <c r="C680" s="17" t="str">
        <f>IF(B680="","",IF(AND($B680&gt;=Settings!$C$10,$B680&lt;=Settings!$C$11),"OK","ERROR"))</f>
        <v/>
      </c>
      <c r="D680" s="18"/>
      <c r="E680" s="5"/>
      <c r="F680" s="19"/>
      <c r="G680" s="20" t="str">
        <f t="shared" si="20"/>
        <v/>
      </c>
      <c r="H680" s="18"/>
      <c r="I680" s="5"/>
      <c r="J680" s="21" t="str">
        <f t="shared" si="21"/>
        <v/>
      </c>
      <c r="K680" s="17" t="str">
        <f>IF(I680="","",MATCH($I680,Settings!$F$5:$F$46,0))</f>
        <v/>
      </c>
      <c r="L680" s="18"/>
    </row>
    <row r="681" spans="2:12" x14ac:dyDescent="0.25">
      <c r="B681" s="16"/>
      <c r="C681" s="17" t="str">
        <f>IF(B681="","",IF(AND($B681&gt;=Settings!$C$10,$B681&lt;=Settings!$C$11),"OK","ERROR"))</f>
        <v/>
      </c>
      <c r="D681" s="18"/>
      <c r="E681" s="5"/>
      <c r="F681" s="19"/>
      <c r="G681" s="20" t="str">
        <f t="shared" si="20"/>
        <v/>
      </c>
      <c r="H681" s="18"/>
      <c r="I681" s="5"/>
      <c r="J681" s="21" t="str">
        <f t="shared" si="21"/>
        <v/>
      </c>
      <c r="K681" s="17" t="str">
        <f>IF(I681="","",MATCH($I681,Settings!$F$5:$F$46,0))</f>
        <v/>
      </c>
      <c r="L681" s="18"/>
    </row>
    <row r="682" spans="2:12" x14ac:dyDescent="0.25">
      <c r="B682" s="16"/>
      <c r="C682" s="17" t="str">
        <f>IF(B682="","",IF(AND($B682&gt;=Settings!$C$10,$B682&lt;=Settings!$C$11),"OK","ERROR"))</f>
        <v/>
      </c>
      <c r="D682" s="18"/>
      <c r="E682" s="5"/>
      <c r="F682" s="19"/>
      <c r="G682" s="20" t="str">
        <f t="shared" si="20"/>
        <v/>
      </c>
      <c r="H682" s="18"/>
      <c r="I682" s="5"/>
      <c r="J682" s="21" t="str">
        <f t="shared" si="21"/>
        <v/>
      </c>
      <c r="K682" s="17" t="str">
        <f>IF(I682="","",MATCH($I682,Settings!$F$5:$F$46,0))</f>
        <v/>
      </c>
      <c r="L682" s="18"/>
    </row>
    <row r="683" spans="2:12" x14ac:dyDescent="0.25">
      <c r="B683" s="16"/>
      <c r="C683" s="17" t="str">
        <f>IF(B683="","",IF(AND($B683&gt;=Settings!$C$10,$B683&lt;=Settings!$C$11),"OK","ERROR"))</f>
        <v/>
      </c>
      <c r="D683" s="18"/>
      <c r="E683" s="5"/>
      <c r="F683" s="19"/>
      <c r="G683" s="20" t="str">
        <f t="shared" si="20"/>
        <v/>
      </c>
      <c r="H683" s="18"/>
      <c r="I683" s="5"/>
      <c r="J683" s="21" t="str">
        <f t="shared" si="21"/>
        <v/>
      </c>
      <c r="K683" s="17" t="str">
        <f>IF(I683="","",MATCH($I683,Settings!$F$5:$F$46,0))</f>
        <v/>
      </c>
      <c r="L683" s="18"/>
    </row>
    <row r="684" spans="2:12" x14ac:dyDescent="0.25">
      <c r="B684" s="16"/>
      <c r="C684" s="17" t="str">
        <f>IF(B684="","",IF(AND($B684&gt;=Settings!$C$10,$B684&lt;=Settings!$C$11),"OK","ERROR"))</f>
        <v/>
      </c>
      <c r="D684" s="18"/>
      <c r="E684" s="5"/>
      <c r="F684" s="19"/>
      <c r="G684" s="20" t="str">
        <f t="shared" si="20"/>
        <v/>
      </c>
      <c r="H684" s="18"/>
      <c r="I684" s="5"/>
      <c r="J684" s="21" t="str">
        <f t="shared" si="21"/>
        <v/>
      </c>
      <c r="K684" s="17" t="str">
        <f>IF(I684="","",MATCH($I684,Settings!$F$5:$F$46,0))</f>
        <v/>
      </c>
      <c r="L684" s="18"/>
    </row>
    <row r="685" spans="2:12" x14ac:dyDescent="0.25">
      <c r="B685" s="16"/>
      <c r="C685" s="17" t="str">
        <f>IF(B685="","",IF(AND($B685&gt;=Settings!$C$10,$B685&lt;=Settings!$C$11),"OK","ERROR"))</f>
        <v/>
      </c>
      <c r="D685" s="18"/>
      <c r="E685" s="5"/>
      <c r="F685" s="19"/>
      <c r="G685" s="20" t="str">
        <f t="shared" si="20"/>
        <v/>
      </c>
      <c r="H685" s="18"/>
      <c r="I685" s="5"/>
      <c r="J685" s="21" t="str">
        <f t="shared" si="21"/>
        <v/>
      </c>
      <c r="K685" s="17" t="str">
        <f>IF(I685="","",MATCH($I685,Settings!$F$5:$F$46,0))</f>
        <v/>
      </c>
      <c r="L685" s="18"/>
    </row>
    <row r="686" spans="2:12" x14ac:dyDescent="0.25">
      <c r="B686" s="16"/>
      <c r="C686" s="17" t="str">
        <f>IF(B686="","",IF(AND($B686&gt;=Settings!$C$10,$B686&lt;=Settings!$C$11),"OK","ERROR"))</f>
        <v/>
      </c>
      <c r="D686" s="18"/>
      <c r="E686" s="5"/>
      <c r="F686" s="19"/>
      <c r="G686" s="20" t="str">
        <f t="shared" si="20"/>
        <v/>
      </c>
      <c r="H686" s="18"/>
      <c r="I686" s="5"/>
      <c r="J686" s="21" t="str">
        <f t="shared" si="21"/>
        <v/>
      </c>
      <c r="K686" s="17" t="str">
        <f>IF(I686="","",MATCH($I686,Settings!$F$5:$F$46,0))</f>
        <v/>
      </c>
      <c r="L686" s="18"/>
    </row>
    <row r="687" spans="2:12" x14ac:dyDescent="0.25">
      <c r="B687" s="16"/>
      <c r="C687" s="17" t="str">
        <f>IF(B687="","",IF(AND($B687&gt;=Settings!$C$10,$B687&lt;=Settings!$C$11),"OK","ERROR"))</f>
        <v/>
      </c>
      <c r="D687" s="18"/>
      <c r="E687" s="5"/>
      <c r="F687" s="19"/>
      <c r="G687" s="20" t="str">
        <f t="shared" si="20"/>
        <v/>
      </c>
      <c r="H687" s="18"/>
      <c r="I687" s="5"/>
      <c r="J687" s="21" t="str">
        <f t="shared" si="21"/>
        <v/>
      </c>
      <c r="K687" s="17" t="str">
        <f>IF(I687="","",MATCH($I687,Settings!$F$5:$F$46,0))</f>
        <v/>
      </c>
      <c r="L687" s="18"/>
    </row>
    <row r="688" spans="2:12" x14ac:dyDescent="0.25">
      <c r="B688" s="16"/>
      <c r="C688" s="17" t="str">
        <f>IF(B688="","",IF(AND($B688&gt;=Settings!$C$10,$B688&lt;=Settings!$C$11),"OK","ERROR"))</f>
        <v/>
      </c>
      <c r="D688" s="18"/>
      <c r="E688" s="5"/>
      <c r="F688" s="19"/>
      <c r="G688" s="20" t="str">
        <f t="shared" si="20"/>
        <v/>
      </c>
      <c r="H688" s="18"/>
      <c r="I688" s="5"/>
      <c r="J688" s="21" t="str">
        <f t="shared" si="21"/>
        <v/>
      </c>
      <c r="K688" s="17" t="str">
        <f>IF(I688="","",MATCH($I688,Settings!$F$5:$F$46,0))</f>
        <v/>
      </c>
      <c r="L688" s="18"/>
    </row>
    <row r="689" spans="2:12" x14ac:dyDescent="0.25">
      <c r="B689" s="16"/>
      <c r="C689" s="17" t="str">
        <f>IF(B689="","",IF(AND($B689&gt;=Settings!$C$10,$B689&lt;=Settings!$C$11),"OK","ERROR"))</f>
        <v/>
      </c>
      <c r="D689" s="18"/>
      <c r="E689" s="5"/>
      <c r="F689" s="19"/>
      <c r="G689" s="20" t="str">
        <f t="shared" si="20"/>
        <v/>
      </c>
      <c r="H689" s="18"/>
      <c r="I689" s="5"/>
      <c r="J689" s="21" t="str">
        <f t="shared" si="21"/>
        <v/>
      </c>
      <c r="K689" s="17" t="str">
        <f>IF(I689="","",MATCH($I689,Settings!$F$5:$F$46,0))</f>
        <v/>
      </c>
      <c r="L689" s="18"/>
    </row>
    <row r="690" spans="2:12" x14ac:dyDescent="0.25">
      <c r="B690" s="16"/>
      <c r="C690" s="17" t="str">
        <f>IF(B690="","",IF(AND($B690&gt;=Settings!$C$10,$B690&lt;=Settings!$C$11),"OK","ERROR"))</f>
        <v/>
      </c>
      <c r="D690" s="18"/>
      <c r="E690" s="5"/>
      <c r="F690" s="19"/>
      <c r="G690" s="20" t="str">
        <f t="shared" si="20"/>
        <v/>
      </c>
      <c r="H690" s="18"/>
      <c r="I690" s="5"/>
      <c r="J690" s="21" t="str">
        <f t="shared" si="21"/>
        <v/>
      </c>
      <c r="K690" s="17" t="str">
        <f>IF(I690="","",MATCH($I690,Settings!$F$5:$F$46,0))</f>
        <v/>
      </c>
      <c r="L690" s="18"/>
    </row>
    <row r="691" spans="2:12" x14ac:dyDescent="0.25">
      <c r="B691" s="16"/>
      <c r="C691" s="17" t="str">
        <f>IF(B691="","",IF(AND($B691&gt;=Settings!$C$10,$B691&lt;=Settings!$C$11),"OK","ERROR"))</f>
        <v/>
      </c>
      <c r="D691" s="18"/>
      <c r="E691" s="5"/>
      <c r="F691" s="19"/>
      <c r="G691" s="20" t="str">
        <f t="shared" si="20"/>
        <v/>
      </c>
      <c r="H691" s="18"/>
      <c r="I691" s="5"/>
      <c r="J691" s="21" t="str">
        <f t="shared" si="21"/>
        <v/>
      </c>
      <c r="K691" s="17" t="str">
        <f>IF(I691="","",MATCH($I691,Settings!$F$5:$F$46,0))</f>
        <v/>
      </c>
      <c r="L691" s="18"/>
    </row>
    <row r="692" spans="2:12" x14ac:dyDescent="0.25">
      <c r="B692" s="16"/>
      <c r="C692" s="17" t="str">
        <f>IF(B692="","",IF(AND($B692&gt;=Settings!$C$10,$B692&lt;=Settings!$C$11),"OK","ERROR"))</f>
        <v/>
      </c>
      <c r="D692" s="18"/>
      <c r="E692" s="5"/>
      <c r="F692" s="19"/>
      <c r="G692" s="20" t="str">
        <f t="shared" si="20"/>
        <v/>
      </c>
      <c r="H692" s="18"/>
      <c r="I692" s="5"/>
      <c r="J692" s="21" t="str">
        <f t="shared" si="21"/>
        <v/>
      </c>
      <c r="K692" s="17" t="str">
        <f>IF(I692="","",MATCH($I692,Settings!$F$5:$F$46,0))</f>
        <v/>
      </c>
      <c r="L692" s="18"/>
    </row>
    <row r="693" spans="2:12" x14ac:dyDescent="0.25">
      <c r="B693" s="16"/>
      <c r="C693" s="17" t="str">
        <f>IF(B693="","",IF(AND($B693&gt;=Settings!$C$10,$B693&lt;=Settings!$C$11),"OK","ERROR"))</f>
        <v/>
      </c>
      <c r="D693" s="18"/>
      <c r="E693" s="5"/>
      <c r="F693" s="19"/>
      <c r="G693" s="20" t="str">
        <f t="shared" si="20"/>
        <v/>
      </c>
      <c r="H693" s="18"/>
      <c r="I693" s="5"/>
      <c r="J693" s="21" t="str">
        <f t="shared" si="21"/>
        <v/>
      </c>
      <c r="K693" s="17" t="str">
        <f>IF(I693="","",MATCH($I693,Settings!$F$5:$F$46,0))</f>
        <v/>
      </c>
      <c r="L693" s="18"/>
    </row>
    <row r="694" spans="2:12" x14ac:dyDescent="0.25">
      <c r="B694" s="16"/>
      <c r="C694" s="17" t="str">
        <f>IF(B694="","",IF(AND($B694&gt;=Settings!$C$10,$B694&lt;=Settings!$C$11),"OK","ERROR"))</f>
        <v/>
      </c>
      <c r="D694" s="18"/>
      <c r="E694" s="5"/>
      <c r="F694" s="19"/>
      <c r="G694" s="20" t="str">
        <f t="shared" si="20"/>
        <v/>
      </c>
      <c r="H694" s="18"/>
      <c r="I694" s="5"/>
      <c r="J694" s="21" t="str">
        <f t="shared" si="21"/>
        <v/>
      </c>
      <c r="K694" s="17" t="str">
        <f>IF(I694="","",MATCH($I694,Settings!$F$5:$F$46,0))</f>
        <v/>
      </c>
      <c r="L694" s="18"/>
    </row>
    <row r="695" spans="2:12" x14ac:dyDescent="0.25">
      <c r="B695" s="16"/>
      <c r="C695" s="17" t="str">
        <f>IF(B695="","",IF(AND($B695&gt;=Settings!$C$10,$B695&lt;=Settings!$C$11),"OK","ERROR"))</f>
        <v/>
      </c>
      <c r="D695" s="18"/>
      <c r="E695" s="5"/>
      <c r="F695" s="19"/>
      <c r="G695" s="20" t="str">
        <f t="shared" si="20"/>
        <v/>
      </c>
      <c r="H695" s="18"/>
      <c r="I695" s="5"/>
      <c r="J695" s="21" t="str">
        <f t="shared" si="21"/>
        <v/>
      </c>
      <c r="K695" s="17" t="str">
        <f>IF(I695="","",MATCH($I695,Settings!$F$5:$F$46,0))</f>
        <v/>
      </c>
      <c r="L695" s="18"/>
    </row>
    <row r="696" spans="2:12" x14ac:dyDescent="0.25">
      <c r="B696" s="16"/>
      <c r="C696" s="17" t="str">
        <f>IF(B696="","",IF(AND($B696&gt;=Settings!$C$10,$B696&lt;=Settings!$C$11),"OK","ERROR"))</f>
        <v/>
      </c>
      <c r="D696" s="18"/>
      <c r="E696" s="5"/>
      <c r="F696" s="19"/>
      <c r="G696" s="20" t="str">
        <f t="shared" si="20"/>
        <v/>
      </c>
      <c r="H696" s="18"/>
      <c r="I696" s="5"/>
      <c r="J696" s="21" t="str">
        <f t="shared" si="21"/>
        <v/>
      </c>
      <c r="K696" s="17" t="str">
        <f>IF(I696="","",MATCH($I696,Settings!$F$5:$F$46,0))</f>
        <v/>
      </c>
      <c r="L696" s="18"/>
    </row>
    <row r="697" spans="2:12" x14ac:dyDescent="0.25">
      <c r="B697" s="16"/>
      <c r="C697" s="17" t="str">
        <f>IF(B697="","",IF(AND($B697&gt;=Settings!$C$10,$B697&lt;=Settings!$C$11),"OK","ERROR"))</f>
        <v/>
      </c>
      <c r="D697" s="18"/>
      <c r="E697" s="5"/>
      <c r="F697" s="19"/>
      <c r="G697" s="20" t="str">
        <f t="shared" si="20"/>
        <v/>
      </c>
      <c r="H697" s="18"/>
      <c r="I697" s="5"/>
      <c r="J697" s="21" t="str">
        <f t="shared" si="21"/>
        <v/>
      </c>
      <c r="K697" s="17" t="str">
        <f>IF(I697="","",MATCH($I697,Settings!$F$5:$F$46,0))</f>
        <v/>
      </c>
      <c r="L697" s="18"/>
    </row>
    <row r="698" spans="2:12" x14ac:dyDescent="0.25">
      <c r="B698" s="16"/>
      <c r="C698" s="17" t="str">
        <f>IF(B698="","",IF(AND($B698&gt;=Settings!$C$10,$B698&lt;=Settings!$C$11),"OK","ERROR"))</f>
        <v/>
      </c>
      <c r="D698" s="18"/>
      <c r="E698" s="5"/>
      <c r="F698" s="19"/>
      <c r="G698" s="20" t="str">
        <f t="shared" si="20"/>
        <v/>
      </c>
      <c r="H698" s="18"/>
      <c r="I698" s="5"/>
      <c r="J698" s="21" t="str">
        <f t="shared" si="21"/>
        <v/>
      </c>
      <c r="K698" s="17" t="str">
        <f>IF(I698="","",MATCH($I698,Settings!$F$5:$F$46,0))</f>
        <v/>
      </c>
      <c r="L698" s="18"/>
    </row>
    <row r="699" spans="2:12" x14ac:dyDescent="0.25">
      <c r="B699" s="16"/>
      <c r="C699" s="17" t="str">
        <f>IF(B699="","",IF(AND($B699&gt;=Settings!$C$10,$B699&lt;=Settings!$C$11),"OK","ERROR"))</f>
        <v/>
      </c>
      <c r="D699" s="18"/>
      <c r="E699" s="5"/>
      <c r="F699" s="19"/>
      <c r="G699" s="20" t="str">
        <f t="shared" si="20"/>
        <v/>
      </c>
      <c r="H699" s="18"/>
      <c r="I699" s="5"/>
      <c r="J699" s="21" t="str">
        <f t="shared" si="21"/>
        <v/>
      </c>
      <c r="K699" s="17" t="str">
        <f>IF(I699="","",MATCH($I699,Settings!$F$5:$F$46,0))</f>
        <v/>
      </c>
      <c r="L699" s="18"/>
    </row>
    <row r="700" spans="2:12" x14ac:dyDescent="0.25">
      <c r="B700" s="16"/>
      <c r="C700" s="17" t="str">
        <f>IF(B700="","",IF(AND($B700&gt;=Settings!$C$10,$B700&lt;=Settings!$C$11),"OK","ERROR"))</f>
        <v/>
      </c>
      <c r="D700" s="18"/>
      <c r="E700" s="5"/>
      <c r="F700" s="19"/>
      <c r="G700" s="20" t="str">
        <f t="shared" si="20"/>
        <v/>
      </c>
      <c r="H700" s="18"/>
      <c r="I700" s="5"/>
      <c r="J700" s="21" t="str">
        <f t="shared" si="21"/>
        <v/>
      </c>
      <c r="K700" s="17" t="str">
        <f>IF(I700="","",MATCH($I700,Settings!$F$5:$F$46,0))</f>
        <v/>
      </c>
      <c r="L700" s="18"/>
    </row>
    <row r="701" spans="2:12" x14ac:dyDescent="0.25">
      <c r="B701" s="16"/>
      <c r="C701" s="17" t="str">
        <f>IF(B701="","",IF(AND($B701&gt;=Settings!$C$10,$B701&lt;=Settings!$C$11),"OK","ERROR"))</f>
        <v/>
      </c>
      <c r="D701" s="18"/>
      <c r="E701" s="5"/>
      <c r="F701" s="19"/>
      <c r="G701" s="20" t="str">
        <f t="shared" si="20"/>
        <v/>
      </c>
      <c r="H701" s="18"/>
      <c r="I701" s="5"/>
      <c r="J701" s="21" t="str">
        <f t="shared" si="21"/>
        <v/>
      </c>
      <c r="K701" s="17" t="str">
        <f>IF(I701="","",MATCH($I701,Settings!$F$5:$F$46,0))</f>
        <v/>
      </c>
      <c r="L701" s="18"/>
    </row>
    <row r="702" spans="2:12" x14ac:dyDescent="0.25">
      <c r="B702" s="16"/>
      <c r="C702" s="17" t="str">
        <f>IF(B702="","",IF(AND($B702&gt;=Settings!$C$10,$B702&lt;=Settings!$C$11),"OK","ERROR"))</f>
        <v/>
      </c>
      <c r="D702" s="18"/>
      <c r="E702" s="5"/>
      <c r="F702" s="19"/>
      <c r="G702" s="20" t="str">
        <f t="shared" si="20"/>
        <v/>
      </c>
      <c r="H702" s="18"/>
      <c r="I702" s="5"/>
      <c r="J702" s="21" t="str">
        <f t="shared" si="21"/>
        <v/>
      </c>
      <c r="K702" s="17" t="str">
        <f>IF(I702="","",MATCH($I702,Settings!$F$5:$F$46,0))</f>
        <v/>
      </c>
      <c r="L702" s="18"/>
    </row>
    <row r="703" spans="2:12" x14ac:dyDescent="0.25">
      <c r="B703" s="16"/>
      <c r="C703" s="17" t="str">
        <f>IF(B703="","",IF(AND($B703&gt;=Settings!$C$10,$B703&lt;=Settings!$C$11),"OK","ERROR"))</f>
        <v/>
      </c>
      <c r="D703" s="18"/>
      <c r="E703" s="5"/>
      <c r="F703" s="19"/>
      <c r="G703" s="20" t="str">
        <f t="shared" si="20"/>
        <v/>
      </c>
      <c r="H703" s="18"/>
      <c r="I703" s="5"/>
      <c r="J703" s="21" t="str">
        <f t="shared" si="21"/>
        <v/>
      </c>
      <c r="K703" s="17" t="str">
        <f>IF(I703="","",MATCH($I703,Settings!$F$5:$F$46,0))</f>
        <v/>
      </c>
      <c r="L703" s="18"/>
    </row>
    <row r="704" spans="2:12" x14ac:dyDescent="0.25">
      <c r="B704" s="16"/>
      <c r="C704" s="17" t="str">
        <f>IF(B704="","",IF(AND($B704&gt;=Settings!$C$10,$B704&lt;=Settings!$C$11),"OK","ERROR"))</f>
        <v/>
      </c>
      <c r="D704" s="18"/>
      <c r="E704" s="5"/>
      <c r="F704" s="19"/>
      <c r="G704" s="20" t="str">
        <f t="shared" si="20"/>
        <v/>
      </c>
      <c r="H704" s="18"/>
      <c r="I704" s="5"/>
      <c r="J704" s="21" t="str">
        <f t="shared" si="21"/>
        <v/>
      </c>
      <c r="K704" s="17" t="str">
        <f>IF(I704="","",MATCH($I704,Settings!$F$5:$F$46,0))</f>
        <v/>
      </c>
      <c r="L704" s="18"/>
    </row>
    <row r="705" spans="2:12" x14ac:dyDescent="0.25">
      <c r="B705" s="16"/>
      <c r="C705" s="17" t="str">
        <f>IF(B705="","",IF(AND($B705&gt;=Settings!$C$10,$B705&lt;=Settings!$C$11),"OK","ERROR"))</f>
        <v/>
      </c>
      <c r="D705" s="18"/>
      <c r="E705" s="5"/>
      <c r="F705" s="19"/>
      <c r="G705" s="20" t="str">
        <f t="shared" si="20"/>
        <v/>
      </c>
      <c r="H705" s="18"/>
      <c r="I705" s="5"/>
      <c r="J705" s="21" t="str">
        <f t="shared" si="21"/>
        <v/>
      </c>
      <c r="K705" s="17" t="str">
        <f>IF(I705="","",MATCH($I705,Settings!$F$5:$F$46,0))</f>
        <v/>
      </c>
      <c r="L705" s="18"/>
    </row>
    <row r="706" spans="2:12" x14ac:dyDescent="0.25">
      <c r="B706" s="16"/>
      <c r="C706" s="17" t="str">
        <f>IF(B706="","",IF(AND($B706&gt;=Settings!$C$10,$B706&lt;=Settings!$C$11),"OK","ERROR"))</f>
        <v/>
      </c>
      <c r="D706" s="18"/>
      <c r="E706" s="5"/>
      <c r="F706" s="19"/>
      <c r="G706" s="20" t="str">
        <f t="shared" si="20"/>
        <v/>
      </c>
      <c r="H706" s="18"/>
      <c r="I706" s="5"/>
      <c r="J706" s="21" t="str">
        <f t="shared" si="21"/>
        <v/>
      </c>
      <c r="K706" s="17" t="str">
        <f>IF(I706="","",MATCH($I706,Settings!$F$5:$F$46,0))</f>
        <v/>
      </c>
      <c r="L706" s="18"/>
    </row>
    <row r="707" spans="2:12" x14ac:dyDescent="0.25">
      <c r="B707" s="16"/>
      <c r="C707" s="17" t="str">
        <f>IF(B707="","",IF(AND($B707&gt;=Settings!$C$10,$B707&lt;=Settings!$C$11),"OK","ERROR"))</f>
        <v/>
      </c>
      <c r="D707" s="18"/>
      <c r="E707" s="5"/>
      <c r="F707" s="19"/>
      <c r="G707" s="20" t="str">
        <f t="shared" si="20"/>
        <v/>
      </c>
      <c r="H707" s="18"/>
      <c r="I707" s="5"/>
      <c r="J707" s="21" t="str">
        <f t="shared" si="21"/>
        <v/>
      </c>
      <c r="K707" s="17" t="str">
        <f>IF(I707="","",MATCH($I707,Settings!$F$5:$F$46,0))</f>
        <v/>
      </c>
      <c r="L707" s="18"/>
    </row>
    <row r="708" spans="2:12" x14ac:dyDescent="0.25">
      <c r="B708" s="16"/>
      <c r="C708" s="17" t="str">
        <f>IF(B708="","",IF(AND($B708&gt;=Settings!$C$10,$B708&lt;=Settings!$C$11),"OK","ERROR"))</f>
        <v/>
      </c>
      <c r="D708" s="18"/>
      <c r="E708" s="5"/>
      <c r="F708" s="19"/>
      <c r="G708" s="20" t="str">
        <f t="shared" si="20"/>
        <v/>
      </c>
      <c r="H708" s="18"/>
      <c r="I708" s="5"/>
      <c r="J708" s="21" t="str">
        <f t="shared" si="21"/>
        <v/>
      </c>
      <c r="K708" s="17" t="str">
        <f>IF(I708="","",MATCH($I708,Settings!$F$5:$F$46,0))</f>
        <v/>
      </c>
      <c r="L708" s="18"/>
    </row>
    <row r="709" spans="2:12" x14ac:dyDescent="0.25">
      <c r="B709" s="16"/>
      <c r="C709" s="17" t="str">
        <f>IF(B709="","",IF(AND($B709&gt;=Settings!$C$10,$B709&lt;=Settings!$C$11),"OK","ERROR"))</f>
        <v/>
      </c>
      <c r="D709" s="18"/>
      <c r="E709" s="5"/>
      <c r="F709" s="19"/>
      <c r="G709" s="20" t="str">
        <f t="shared" si="20"/>
        <v/>
      </c>
      <c r="H709" s="18"/>
      <c r="I709" s="5"/>
      <c r="J709" s="21" t="str">
        <f t="shared" si="21"/>
        <v/>
      </c>
      <c r="K709" s="17" t="str">
        <f>IF(I709="","",MATCH($I709,Settings!$F$5:$F$46,0))</f>
        <v/>
      </c>
      <c r="L709" s="18"/>
    </row>
    <row r="710" spans="2:12" x14ac:dyDescent="0.25">
      <c r="B710" s="16"/>
      <c r="C710" s="17" t="str">
        <f>IF(B710="","",IF(AND($B710&gt;=Settings!$C$10,$B710&lt;=Settings!$C$11),"OK","ERROR"))</f>
        <v/>
      </c>
      <c r="D710" s="18"/>
      <c r="E710" s="5"/>
      <c r="F710" s="19"/>
      <c r="G710" s="20" t="str">
        <f t="shared" ref="G710:G773" si="22">IF(F710="","",IF(I710&lt;&gt;"","OK","ERROR"))</f>
        <v/>
      </c>
      <c r="H710" s="18"/>
      <c r="I710" s="5"/>
      <c r="J710" s="21" t="str">
        <f t="shared" si="21"/>
        <v/>
      </c>
      <c r="K710" s="17" t="str">
        <f>IF(I710="","",MATCH($I710,Settings!$F$5:$F$46,0))</f>
        <v/>
      </c>
      <c r="L710" s="18"/>
    </row>
    <row r="711" spans="2:12" x14ac:dyDescent="0.25">
      <c r="B711" s="16"/>
      <c r="C711" s="17" t="str">
        <f>IF(B711="","",IF(AND($B711&gt;=Settings!$C$10,$B711&lt;=Settings!$C$11),"OK","ERROR"))</f>
        <v/>
      </c>
      <c r="D711" s="18"/>
      <c r="E711" s="5"/>
      <c r="F711" s="19"/>
      <c r="G711" s="20" t="str">
        <f t="shared" si="22"/>
        <v/>
      </c>
      <c r="H711" s="18"/>
      <c r="I711" s="5"/>
      <c r="J711" s="21" t="str">
        <f t="shared" ref="J711:J774" si="23">IF(I711="","",IF(ISERROR($K711)=TRUE,"ERROR","OK"))</f>
        <v/>
      </c>
      <c r="K711" s="17" t="str">
        <f>IF(I711="","",MATCH($I711,Settings!$F$5:$F$46,0))</f>
        <v/>
      </c>
      <c r="L711" s="18"/>
    </row>
    <row r="712" spans="2:12" x14ac:dyDescent="0.25">
      <c r="B712" s="16"/>
      <c r="C712" s="17" t="str">
        <f>IF(B712="","",IF(AND($B712&gt;=Settings!$C$10,$B712&lt;=Settings!$C$11),"OK","ERROR"))</f>
        <v/>
      </c>
      <c r="D712" s="18"/>
      <c r="E712" s="5"/>
      <c r="F712" s="19"/>
      <c r="G712" s="20" t="str">
        <f t="shared" si="22"/>
        <v/>
      </c>
      <c r="H712" s="18"/>
      <c r="I712" s="5"/>
      <c r="J712" s="21" t="str">
        <f t="shared" si="23"/>
        <v/>
      </c>
      <c r="K712" s="17" t="str">
        <f>IF(I712="","",MATCH($I712,Settings!$F$5:$F$46,0))</f>
        <v/>
      </c>
      <c r="L712" s="18"/>
    </row>
    <row r="713" spans="2:12" x14ac:dyDescent="0.25">
      <c r="B713" s="16"/>
      <c r="C713" s="17" t="str">
        <f>IF(B713="","",IF(AND($B713&gt;=Settings!$C$10,$B713&lt;=Settings!$C$11),"OK","ERROR"))</f>
        <v/>
      </c>
      <c r="D713" s="18"/>
      <c r="E713" s="5"/>
      <c r="F713" s="19"/>
      <c r="G713" s="20" t="str">
        <f t="shared" si="22"/>
        <v/>
      </c>
      <c r="H713" s="18"/>
      <c r="I713" s="5"/>
      <c r="J713" s="21" t="str">
        <f t="shared" si="23"/>
        <v/>
      </c>
      <c r="K713" s="17" t="str">
        <f>IF(I713="","",MATCH($I713,Settings!$F$5:$F$46,0))</f>
        <v/>
      </c>
      <c r="L713" s="18"/>
    </row>
    <row r="714" spans="2:12" x14ac:dyDescent="0.25">
      <c r="B714" s="16"/>
      <c r="C714" s="17" t="str">
        <f>IF(B714="","",IF(AND($B714&gt;=Settings!$C$10,$B714&lt;=Settings!$C$11),"OK","ERROR"))</f>
        <v/>
      </c>
      <c r="D714" s="18"/>
      <c r="E714" s="5"/>
      <c r="F714" s="19"/>
      <c r="G714" s="20" t="str">
        <f t="shared" si="22"/>
        <v/>
      </c>
      <c r="H714" s="18"/>
      <c r="I714" s="5"/>
      <c r="J714" s="21" t="str">
        <f t="shared" si="23"/>
        <v/>
      </c>
      <c r="K714" s="17" t="str">
        <f>IF(I714="","",MATCH($I714,Settings!$F$5:$F$46,0))</f>
        <v/>
      </c>
      <c r="L714" s="18"/>
    </row>
    <row r="715" spans="2:12" x14ac:dyDescent="0.25">
      <c r="B715" s="16"/>
      <c r="C715" s="17" t="str">
        <f>IF(B715="","",IF(AND($B715&gt;=Settings!$C$10,$B715&lt;=Settings!$C$11),"OK","ERROR"))</f>
        <v/>
      </c>
      <c r="D715" s="18"/>
      <c r="E715" s="5"/>
      <c r="F715" s="19"/>
      <c r="G715" s="20" t="str">
        <f t="shared" si="22"/>
        <v/>
      </c>
      <c r="H715" s="18"/>
      <c r="I715" s="5"/>
      <c r="J715" s="21" t="str">
        <f t="shared" si="23"/>
        <v/>
      </c>
      <c r="K715" s="17" t="str">
        <f>IF(I715="","",MATCH($I715,Settings!$F$5:$F$46,0))</f>
        <v/>
      </c>
      <c r="L715" s="18"/>
    </row>
    <row r="716" spans="2:12" x14ac:dyDescent="0.25">
      <c r="B716" s="16"/>
      <c r="C716" s="17" t="str">
        <f>IF(B716="","",IF(AND($B716&gt;=Settings!$C$10,$B716&lt;=Settings!$C$11),"OK","ERROR"))</f>
        <v/>
      </c>
      <c r="D716" s="18"/>
      <c r="E716" s="5"/>
      <c r="F716" s="19"/>
      <c r="G716" s="20" t="str">
        <f t="shared" si="22"/>
        <v/>
      </c>
      <c r="H716" s="18"/>
      <c r="I716" s="5"/>
      <c r="J716" s="21" t="str">
        <f t="shared" si="23"/>
        <v/>
      </c>
      <c r="K716" s="17" t="str">
        <f>IF(I716="","",MATCH($I716,Settings!$F$5:$F$46,0))</f>
        <v/>
      </c>
      <c r="L716" s="18"/>
    </row>
    <row r="717" spans="2:12" x14ac:dyDescent="0.25">
      <c r="B717" s="16"/>
      <c r="C717" s="17" t="str">
        <f>IF(B717="","",IF(AND($B717&gt;=Settings!$C$10,$B717&lt;=Settings!$C$11),"OK","ERROR"))</f>
        <v/>
      </c>
      <c r="D717" s="18"/>
      <c r="E717" s="5"/>
      <c r="F717" s="19"/>
      <c r="G717" s="20" t="str">
        <f t="shared" si="22"/>
        <v/>
      </c>
      <c r="H717" s="18"/>
      <c r="I717" s="5"/>
      <c r="J717" s="21" t="str">
        <f t="shared" si="23"/>
        <v/>
      </c>
      <c r="K717" s="17" t="str">
        <f>IF(I717="","",MATCH($I717,Settings!$F$5:$F$46,0))</f>
        <v/>
      </c>
      <c r="L717" s="18"/>
    </row>
    <row r="718" spans="2:12" x14ac:dyDescent="0.25">
      <c r="B718" s="16"/>
      <c r="C718" s="17" t="str">
        <f>IF(B718="","",IF(AND($B718&gt;=Settings!$C$10,$B718&lt;=Settings!$C$11),"OK","ERROR"))</f>
        <v/>
      </c>
      <c r="D718" s="18"/>
      <c r="E718" s="5"/>
      <c r="F718" s="19"/>
      <c r="G718" s="20" t="str">
        <f t="shared" si="22"/>
        <v/>
      </c>
      <c r="H718" s="18"/>
      <c r="I718" s="5"/>
      <c r="J718" s="21" t="str">
        <f t="shared" si="23"/>
        <v/>
      </c>
      <c r="K718" s="17" t="str">
        <f>IF(I718="","",MATCH($I718,Settings!$F$5:$F$46,0))</f>
        <v/>
      </c>
      <c r="L718" s="18"/>
    </row>
    <row r="719" spans="2:12" x14ac:dyDescent="0.25">
      <c r="B719" s="16"/>
      <c r="C719" s="17" t="str">
        <f>IF(B719="","",IF(AND($B719&gt;=Settings!$C$10,$B719&lt;=Settings!$C$11),"OK","ERROR"))</f>
        <v/>
      </c>
      <c r="D719" s="18"/>
      <c r="E719" s="5"/>
      <c r="F719" s="19"/>
      <c r="G719" s="20" t="str">
        <f t="shared" si="22"/>
        <v/>
      </c>
      <c r="H719" s="18"/>
      <c r="I719" s="5"/>
      <c r="J719" s="21" t="str">
        <f t="shared" si="23"/>
        <v/>
      </c>
      <c r="K719" s="17" t="str">
        <f>IF(I719="","",MATCH($I719,Settings!$F$5:$F$46,0))</f>
        <v/>
      </c>
      <c r="L719" s="18"/>
    </row>
    <row r="720" spans="2:12" x14ac:dyDescent="0.25">
      <c r="B720" s="16"/>
      <c r="C720" s="17" t="str">
        <f>IF(B720="","",IF(AND($B720&gt;=Settings!$C$10,$B720&lt;=Settings!$C$11),"OK","ERROR"))</f>
        <v/>
      </c>
      <c r="D720" s="18"/>
      <c r="E720" s="5"/>
      <c r="F720" s="19"/>
      <c r="G720" s="20" t="str">
        <f t="shared" si="22"/>
        <v/>
      </c>
      <c r="H720" s="18"/>
      <c r="I720" s="5"/>
      <c r="J720" s="21" t="str">
        <f t="shared" si="23"/>
        <v/>
      </c>
      <c r="K720" s="17" t="str">
        <f>IF(I720="","",MATCH($I720,Settings!$F$5:$F$46,0))</f>
        <v/>
      </c>
      <c r="L720" s="18"/>
    </row>
    <row r="721" spans="2:12" x14ac:dyDescent="0.25">
      <c r="B721" s="16"/>
      <c r="C721" s="17" t="str">
        <f>IF(B721="","",IF(AND($B721&gt;=Settings!$C$10,$B721&lt;=Settings!$C$11),"OK","ERROR"))</f>
        <v/>
      </c>
      <c r="D721" s="18"/>
      <c r="E721" s="5"/>
      <c r="F721" s="19"/>
      <c r="G721" s="20" t="str">
        <f t="shared" si="22"/>
        <v/>
      </c>
      <c r="H721" s="18"/>
      <c r="I721" s="5"/>
      <c r="J721" s="21" t="str">
        <f t="shared" si="23"/>
        <v/>
      </c>
      <c r="K721" s="17" t="str">
        <f>IF(I721="","",MATCH($I721,Settings!$F$5:$F$46,0))</f>
        <v/>
      </c>
      <c r="L721" s="18"/>
    </row>
    <row r="722" spans="2:12" x14ac:dyDescent="0.25">
      <c r="B722" s="16"/>
      <c r="C722" s="17" t="str">
        <f>IF(B722="","",IF(AND($B722&gt;=Settings!$C$10,$B722&lt;=Settings!$C$11),"OK","ERROR"))</f>
        <v/>
      </c>
      <c r="D722" s="18"/>
      <c r="E722" s="5"/>
      <c r="F722" s="19"/>
      <c r="G722" s="20" t="str">
        <f t="shared" si="22"/>
        <v/>
      </c>
      <c r="H722" s="18"/>
      <c r="I722" s="5"/>
      <c r="J722" s="21" t="str">
        <f t="shared" si="23"/>
        <v/>
      </c>
      <c r="K722" s="17" t="str">
        <f>IF(I722="","",MATCH($I722,Settings!$F$5:$F$46,0))</f>
        <v/>
      </c>
      <c r="L722" s="18"/>
    </row>
    <row r="723" spans="2:12" x14ac:dyDescent="0.25">
      <c r="B723" s="16"/>
      <c r="C723" s="17" t="str">
        <f>IF(B723="","",IF(AND($B723&gt;=Settings!$C$10,$B723&lt;=Settings!$C$11),"OK","ERROR"))</f>
        <v/>
      </c>
      <c r="D723" s="18"/>
      <c r="E723" s="5"/>
      <c r="F723" s="19"/>
      <c r="G723" s="20" t="str">
        <f t="shared" si="22"/>
        <v/>
      </c>
      <c r="H723" s="18"/>
      <c r="I723" s="5"/>
      <c r="J723" s="21" t="str">
        <f t="shared" si="23"/>
        <v/>
      </c>
      <c r="K723" s="17" t="str">
        <f>IF(I723="","",MATCH($I723,Settings!$F$5:$F$46,0))</f>
        <v/>
      </c>
      <c r="L723" s="18"/>
    </row>
    <row r="724" spans="2:12" x14ac:dyDescent="0.25">
      <c r="B724" s="16"/>
      <c r="C724" s="17" t="str">
        <f>IF(B724="","",IF(AND($B724&gt;=Settings!$C$10,$B724&lt;=Settings!$C$11),"OK","ERROR"))</f>
        <v/>
      </c>
      <c r="D724" s="18"/>
      <c r="E724" s="5"/>
      <c r="F724" s="19"/>
      <c r="G724" s="20" t="str">
        <f t="shared" si="22"/>
        <v/>
      </c>
      <c r="H724" s="18"/>
      <c r="I724" s="5"/>
      <c r="J724" s="21" t="str">
        <f t="shared" si="23"/>
        <v/>
      </c>
      <c r="K724" s="17" t="str">
        <f>IF(I724="","",MATCH($I724,Settings!$F$5:$F$46,0))</f>
        <v/>
      </c>
      <c r="L724" s="18"/>
    </row>
    <row r="725" spans="2:12" x14ac:dyDescent="0.25">
      <c r="B725" s="16"/>
      <c r="C725" s="17" t="str">
        <f>IF(B725="","",IF(AND($B725&gt;=Settings!$C$10,$B725&lt;=Settings!$C$11),"OK","ERROR"))</f>
        <v/>
      </c>
      <c r="D725" s="18"/>
      <c r="E725" s="5"/>
      <c r="F725" s="19"/>
      <c r="G725" s="20" t="str">
        <f t="shared" si="22"/>
        <v/>
      </c>
      <c r="H725" s="18"/>
      <c r="I725" s="5"/>
      <c r="J725" s="21" t="str">
        <f t="shared" si="23"/>
        <v/>
      </c>
      <c r="K725" s="17" t="str">
        <f>IF(I725="","",MATCH($I725,Settings!$F$5:$F$46,0))</f>
        <v/>
      </c>
      <c r="L725" s="18"/>
    </row>
    <row r="726" spans="2:12" x14ac:dyDescent="0.25">
      <c r="B726" s="16"/>
      <c r="C726" s="17" t="str">
        <f>IF(B726="","",IF(AND($B726&gt;=Settings!$C$10,$B726&lt;=Settings!$C$11),"OK","ERROR"))</f>
        <v/>
      </c>
      <c r="D726" s="18"/>
      <c r="E726" s="5"/>
      <c r="F726" s="19"/>
      <c r="G726" s="20" t="str">
        <f t="shared" si="22"/>
        <v/>
      </c>
      <c r="H726" s="18"/>
      <c r="I726" s="5"/>
      <c r="J726" s="21" t="str">
        <f t="shared" si="23"/>
        <v/>
      </c>
      <c r="K726" s="17" t="str">
        <f>IF(I726="","",MATCH($I726,Settings!$F$5:$F$46,0))</f>
        <v/>
      </c>
      <c r="L726" s="18"/>
    </row>
    <row r="727" spans="2:12" x14ac:dyDescent="0.25">
      <c r="B727" s="16"/>
      <c r="C727" s="17" t="str">
        <f>IF(B727="","",IF(AND($B727&gt;=Settings!$C$10,$B727&lt;=Settings!$C$11),"OK","ERROR"))</f>
        <v/>
      </c>
      <c r="D727" s="18"/>
      <c r="E727" s="5"/>
      <c r="F727" s="19"/>
      <c r="G727" s="20" t="str">
        <f t="shared" si="22"/>
        <v/>
      </c>
      <c r="H727" s="18"/>
      <c r="I727" s="5"/>
      <c r="J727" s="21" t="str">
        <f t="shared" si="23"/>
        <v/>
      </c>
      <c r="K727" s="17" t="str">
        <f>IF(I727="","",MATCH($I727,Settings!$F$5:$F$46,0))</f>
        <v/>
      </c>
      <c r="L727" s="18"/>
    </row>
    <row r="728" spans="2:12" x14ac:dyDescent="0.25">
      <c r="B728" s="16"/>
      <c r="C728" s="17" t="str">
        <f>IF(B728="","",IF(AND($B728&gt;=Settings!$C$10,$B728&lt;=Settings!$C$11),"OK","ERROR"))</f>
        <v/>
      </c>
      <c r="D728" s="18"/>
      <c r="E728" s="5"/>
      <c r="F728" s="19"/>
      <c r="G728" s="20" t="str">
        <f t="shared" si="22"/>
        <v/>
      </c>
      <c r="H728" s="18"/>
      <c r="I728" s="5"/>
      <c r="J728" s="21" t="str">
        <f t="shared" si="23"/>
        <v/>
      </c>
      <c r="K728" s="17" t="str">
        <f>IF(I728="","",MATCH($I728,Settings!$F$5:$F$46,0))</f>
        <v/>
      </c>
      <c r="L728" s="18"/>
    </row>
    <row r="729" spans="2:12" x14ac:dyDescent="0.25">
      <c r="B729" s="16"/>
      <c r="C729" s="17" t="str">
        <f>IF(B729="","",IF(AND($B729&gt;=Settings!$C$10,$B729&lt;=Settings!$C$11),"OK","ERROR"))</f>
        <v/>
      </c>
      <c r="D729" s="18"/>
      <c r="E729" s="5"/>
      <c r="F729" s="19"/>
      <c r="G729" s="20" t="str">
        <f t="shared" si="22"/>
        <v/>
      </c>
      <c r="H729" s="18"/>
      <c r="I729" s="5"/>
      <c r="J729" s="21" t="str">
        <f t="shared" si="23"/>
        <v/>
      </c>
      <c r="K729" s="17" t="str">
        <f>IF(I729="","",MATCH($I729,Settings!$F$5:$F$46,0))</f>
        <v/>
      </c>
      <c r="L729" s="18"/>
    </row>
    <row r="730" spans="2:12" x14ac:dyDescent="0.25">
      <c r="B730" s="16"/>
      <c r="C730" s="17" t="str">
        <f>IF(B730="","",IF(AND($B730&gt;=Settings!$C$10,$B730&lt;=Settings!$C$11),"OK","ERROR"))</f>
        <v/>
      </c>
      <c r="D730" s="18"/>
      <c r="E730" s="5"/>
      <c r="F730" s="19"/>
      <c r="G730" s="20" t="str">
        <f t="shared" si="22"/>
        <v/>
      </c>
      <c r="H730" s="18"/>
      <c r="I730" s="5"/>
      <c r="J730" s="21" t="str">
        <f t="shared" si="23"/>
        <v/>
      </c>
      <c r="K730" s="17" t="str">
        <f>IF(I730="","",MATCH($I730,Settings!$F$5:$F$46,0))</f>
        <v/>
      </c>
      <c r="L730" s="18"/>
    </row>
    <row r="731" spans="2:12" x14ac:dyDescent="0.25">
      <c r="B731" s="16"/>
      <c r="C731" s="17" t="str">
        <f>IF(B731="","",IF(AND($B731&gt;=Settings!$C$10,$B731&lt;=Settings!$C$11),"OK","ERROR"))</f>
        <v/>
      </c>
      <c r="D731" s="18"/>
      <c r="E731" s="5"/>
      <c r="F731" s="19"/>
      <c r="G731" s="20" t="str">
        <f t="shared" si="22"/>
        <v/>
      </c>
      <c r="H731" s="18"/>
      <c r="I731" s="5"/>
      <c r="J731" s="21" t="str">
        <f t="shared" si="23"/>
        <v/>
      </c>
      <c r="K731" s="17" t="str">
        <f>IF(I731="","",MATCH($I731,Settings!$F$5:$F$46,0))</f>
        <v/>
      </c>
      <c r="L731" s="18"/>
    </row>
    <row r="732" spans="2:12" x14ac:dyDescent="0.25">
      <c r="B732" s="16"/>
      <c r="C732" s="17" t="str">
        <f>IF(B732="","",IF(AND($B732&gt;=Settings!$C$10,$B732&lt;=Settings!$C$11),"OK","ERROR"))</f>
        <v/>
      </c>
      <c r="D732" s="18"/>
      <c r="E732" s="5"/>
      <c r="F732" s="19"/>
      <c r="G732" s="20" t="str">
        <f t="shared" si="22"/>
        <v/>
      </c>
      <c r="H732" s="18"/>
      <c r="I732" s="5"/>
      <c r="J732" s="21" t="str">
        <f t="shared" si="23"/>
        <v/>
      </c>
      <c r="K732" s="17" t="str">
        <f>IF(I732="","",MATCH($I732,Settings!$F$5:$F$46,0))</f>
        <v/>
      </c>
      <c r="L732" s="18"/>
    </row>
    <row r="733" spans="2:12" x14ac:dyDescent="0.25">
      <c r="B733" s="16"/>
      <c r="C733" s="17" t="str">
        <f>IF(B733="","",IF(AND($B733&gt;=Settings!$C$10,$B733&lt;=Settings!$C$11),"OK","ERROR"))</f>
        <v/>
      </c>
      <c r="D733" s="18"/>
      <c r="E733" s="5"/>
      <c r="F733" s="19"/>
      <c r="G733" s="20" t="str">
        <f t="shared" si="22"/>
        <v/>
      </c>
      <c r="H733" s="18"/>
      <c r="I733" s="5"/>
      <c r="J733" s="21" t="str">
        <f t="shared" si="23"/>
        <v/>
      </c>
      <c r="K733" s="17" t="str">
        <f>IF(I733="","",MATCH($I733,Settings!$F$5:$F$46,0))</f>
        <v/>
      </c>
      <c r="L733" s="18"/>
    </row>
    <row r="734" spans="2:12" x14ac:dyDescent="0.25">
      <c r="B734" s="16"/>
      <c r="C734" s="17" t="str">
        <f>IF(B734="","",IF(AND($B734&gt;=Settings!$C$10,$B734&lt;=Settings!$C$11),"OK","ERROR"))</f>
        <v/>
      </c>
      <c r="D734" s="18"/>
      <c r="E734" s="5"/>
      <c r="F734" s="19"/>
      <c r="G734" s="20" t="str">
        <f t="shared" si="22"/>
        <v/>
      </c>
      <c r="H734" s="18"/>
      <c r="I734" s="5"/>
      <c r="J734" s="21" t="str">
        <f t="shared" si="23"/>
        <v/>
      </c>
      <c r="K734" s="17" t="str">
        <f>IF(I734="","",MATCH($I734,Settings!$F$5:$F$46,0))</f>
        <v/>
      </c>
      <c r="L734" s="18"/>
    </row>
    <row r="735" spans="2:12" x14ac:dyDescent="0.25">
      <c r="B735" s="16"/>
      <c r="C735" s="17" t="str">
        <f>IF(B735="","",IF(AND($B735&gt;=Settings!$C$10,$B735&lt;=Settings!$C$11),"OK","ERROR"))</f>
        <v/>
      </c>
      <c r="D735" s="18"/>
      <c r="E735" s="5"/>
      <c r="F735" s="19"/>
      <c r="G735" s="20" t="str">
        <f t="shared" si="22"/>
        <v/>
      </c>
      <c r="H735" s="18"/>
      <c r="I735" s="5"/>
      <c r="J735" s="21" t="str">
        <f t="shared" si="23"/>
        <v/>
      </c>
      <c r="K735" s="17" t="str">
        <f>IF(I735="","",MATCH($I735,Settings!$F$5:$F$46,0))</f>
        <v/>
      </c>
      <c r="L735" s="18"/>
    </row>
    <row r="736" spans="2:12" x14ac:dyDescent="0.25">
      <c r="B736" s="16"/>
      <c r="C736" s="17" t="str">
        <f>IF(B736="","",IF(AND($B736&gt;=Settings!$C$10,$B736&lt;=Settings!$C$11),"OK","ERROR"))</f>
        <v/>
      </c>
      <c r="D736" s="18"/>
      <c r="E736" s="5"/>
      <c r="F736" s="19"/>
      <c r="G736" s="20" t="str">
        <f t="shared" si="22"/>
        <v/>
      </c>
      <c r="H736" s="18"/>
      <c r="I736" s="5"/>
      <c r="J736" s="21" t="str">
        <f t="shared" si="23"/>
        <v/>
      </c>
      <c r="K736" s="17" t="str">
        <f>IF(I736="","",MATCH($I736,Settings!$F$5:$F$46,0))</f>
        <v/>
      </c>
      <c r="L736" s="18"/>
    </row>
    <row r="737" spans="2:12" x14ac:dyDescent="0.25">
      <c r="B737" s="16"/>
      <c r="C737" s="17" t="str">
        <f>IF(B737="","",IF(AND($B737&gt;=Settings!$C$10,$B737&lt;=Settings!$C$11),"OK","ERROR"))</f>
        <v/>
      </c>
      <c r="D737" s="18"/>
      <c r="E737" s="5"/>
      <c r="F737" s="19"/>
      <c r="G737" s="20" t="str">
        <f t="shared" si="22"/>
        <v/>
      </c>
      <c r="H737" s="18"/>
      <c r="I737" s="5"/>
      <c r="J737" s="21" t="str">
        <f t="shared" si="23"/>
        <v/>
      </c>
      <c r="K737" s="17" t="str">
        <f>IF(I737="","",MATCH($I737,Settings!$F$5:$F$46,0))</f>
        <v/>
      </c>
      <c r="L737" s="18"/>
    </row>
    <row r="738" spans="2:12" x14ac:dyDescent="0.25">
      <c r="B738" s="16"/>
      <c r="C738" s="17" t="str">
        <f>IF(B738="","",IF(AND($B738&gt;=Settings!$C$10,$B738&lt;=Settings!$C$11),"OK","ERROR"))</f>
        <v/>
      </c>
      <c r="D738" s="18"/>
      <c r="E738" s="5"/>
      <c r="F738" s="19"/>
      <c r="G738" s="20" t="str">
        <f t="shared" si="22"/>
        <v/>
      </c>
      <c r="H738" s="18"/>
      <c r="I738" s="5"/>
      <c r="J738" s="21" t="str">
        <f t="shared" si="23"/>
        <v/>
      </c>
      <c r="K738" s="17" t="str">
        <f>IF(I738="","",MATCH($I738,Settings!$F$5:$F$46,0))</f>
        <v/>
      </c>
      <c r="L738" s="18"/>
    </row>
    <row r="739" spans="2:12" x14ac:dyDescent="0.25">
      <c r="B739" s="16"/>
      <c r="C739" s="17" t="str">
        <f>IF(B739="","",IF(AND($B739&gt;=Settings!$C$10,$B739&lt;=Settings!$C$11),"OK","ERROR"))</f>
        <v/>
      </c>
      <c r="D739" s="18"/>
      <c r="E739" s="5"/>
      <c r="F739" s="19"/>
      <c r="G739" s="20" t="str">
        <f t="shared" si="22"/>
        <v/>
      </c>
      <c r="H739" s="18"/>
      <c r="I739" s="5"/>
      <c r="J739" s="21" t="str">
        <f t="shared" si="23"/>
        <v/>
      </c>
      <c r="K739" s="17" t="str">
        <f>IF(I739="","",MATCH($I739,Settings!$F$5:$F$46,0))</f>
        <v/>
      </c>
      <c r="L739" s="18"/>
    </row>
    <row r="740" spans="2:12" x14ac:dyDescent="0.25">
      <c r="B740" s="16"/>
      <c r="C740" s="17" t="str">
        <f>IF(B740="","",IF(AND($B740&gt;=Settings!$C$10,$B740&lt;=Settings!$C$11),"OK","ERROR"))</f>
        <v/>
      </c>
      <c r="D740" s="18"/>
      <c r="E740" s="5"/>
      <c r="F740" s="19"/>
      <c r="G740" s="20" t="str">
        <f t="shared" si="22"/>
        <v/>
      </c>
      <c r="H740" s="18"/>
      <c r="I740" s="5"/>
      <c r="J740" s="21" t="str">
        <f t="shared" si="23"/>
        <v/>
      </c>
      <c r="K740" s="17" t="str">
        <f>IF(I740="","",MATCH($I740,Settings!$F$5:$F$46,0))</f>
        <v/>
      </c>
      <c r="L740" s="18"/>
    </row>
    <row r="741" spans="2:12" x14ac:dyDescent="0.25">
      <c r="B741" s="16"/>
      <c r="C741" s="17" t="str">
        <f>IF(B741="","",IF(AND($B741&gt;=Settings!$C$10,$B741&lt;=Settings!$C$11),"OK","ERROR"))</f>
        <v/>
      </c>
      <c r="D741" s="18"/>
      <c r="E741" s="5"/>
      <c r="F741" s="19"/>
      <c r="G741" s="20" t="str">
        <f t="shared" si="22"/>
        <v/>
      </c>
      <c r="H741" s="18"/>
      <c r="I741" s="5"/>
      <c r="J741" s="21" t="str">
        <f t="shared" si="23"/>
        <v/>
      </c>
      <c r="K741" s="17" t="str">
        <f>IF(I741="","",MATCH($I741,Settings!$F$5:$F$46,0))</f>
        <v/>
      </c>
      <c r="L741" s="18"/>
    </row>
    <row r="742" spans="2:12" x14ac:dyDescent="0.25">
      <c r="B742" s="16"/>
      <c r="C742" s="17" t="str">
        <f>IF(B742="","",IF(AND($B742&gt;=Settings!$C$10,$B742&lt;=Settings!$C$11),"OK","ERROR"))</f>
        <v/>
      </c>
      <c r="D742" s="18"/>
      <c r="E742" s="5"/>
      <c r="F742" s="19"/>
      <c r="G742" s="20" t="str">
        <f t="shared" si="22"/>
        <v/>
      </c>
      <c r="H742" s="18"/>
      <c r="I742" s="5"/>
      <c r="J742" s="21" t="str">
        <f t="shared" si="23"/>
        <v/>
      </c>
      <c r="K742" s="17" t="str">
        <f>IF(I742="","",MATCH($I742,Settings!$F$5:$F$46,0))</f>
        <v/>
      </c>
      <c r="L742" s="18"/>
    </row>
    <row r="743" spans="2:12" x14ac:dyDescent="0.25">
      <c r="B743" s="16"/>
      <c r="C743" s="17" t="str">
        <f>IF(B743="","",IF(AND($B743&gt;=Settings!$C$10,$B743&lt;=Settings!$C$11),"OK","ERROR"))</f>
        <v/>
      </c>
      <c r="D743" s="18"/>
      <c r="E743" s="5"/>
      <c r="F743" s="19"/>
      <c r="G743" s="20" t="str">
        <f t="shared" si="22"/>
        <v/>
      </c>
      <c r="H743" s="18"/>
      <c r="I743" s="5"/>
      <c r="J743" s="21" t="str">
        <f t="shared" si="23"/>
        <v/>
      </c>
      <c r="K743" s="17" t="str">
        <f>IF(I743="","",MATCH($I743,Settings!$F$5:$F$46,0))</f>
        <v/>
      </c>
      <c r="L743" s="18"/>
    </row>
    <row r="744" spans="2:12" x14ac:dyDescent="0.25">
      <c r="B744" s="16"/>
      <c r="C744" s="17" t="str">
        <f>IF(B744="","",IF(AND($B744&gt;=Settings!$C$10,$B744&lt;=Settings!$C$11),"OK","ERROR"))</f>
        <v/>
      </c>
      <c r="D744" s="18"/>
      <c r="E744" s="5"/>
      <c r="F744" s="19"/>
      <c r="G744" s="20" t="str">
        <f t="shared" si="22"/>
        <v/>
      </c>
      <c r="H744" s="18"/>
      <c r="I744" s="5"/>
      <c r="J744" s="21" t="str">
        <f t="shared" si="23"/>
        <v/>
      </c>
      <c r="K744" s="17" t="str">
        <f>IF(I744="","",MATCH($I744,Settings!$F$5:$F$46,0))</f>
        <v/>
      </c>
      <c r="L744" s="18"/>
    </row>
    <row r="745" spans="2:12" x14ac:dyDescent="0.25">
      <c r="B745" s="16"/>
      <c r="C745" s="17" t="str">
        <f>IF(B745="","",IF(AND($B745&gt;=Settings!$C$10,$B745&lt;=Settings!$C$11),"OK","ERROR"))</f>
        <v/>
      </c>
      <c r="D745" s="18"/>
      <c r="E745" s="5"/>
      <c r="F745" s="19"/>
      <c r="G745" s="20" t="str">
        <f t="shared" si="22"/>
        <v/>
      </c>
      <c r="H745" s="18"/>
      <c r="I745" s="5"/>
      <c r="J745" s="21" t="str">
        <f t="shared" si="23"/>
        <v/>
      </c>
      <c r="K745" s="17" t="str">
        <f>IF(I745="","",MATCH($I745,Settings!$F$5:$F$46,0))</f>
        <v/>
      </c>
      <c r="L745" s="18"/>
    </row>
    <row r="746" spans="2:12" x14ac:dyDescent="0.25">
      <c r="B746" s="16"/>
      <c r="C746" s="17" t="str">
        <f>IF(B746="","",IF(AND($B746&gt;=Settings!$C$10,$B746&lt;=Settings!$C$11),"OK","ERROR"))</f>
        <v/>
      </c>
      <c r="D746" s="18"/>
      <c r="E746" s="5"/>
      <c r="F746" s="19"/>
      <c r="G746" s="20" t="str">
        <f t="shared" si="22"/>
        <v/>
      </c>
      <c r="H746" s="18"/>
      <c r="I746" s="5"/>
      <c r="J746" s="21" t="str">
        <f t="shared" si="23"/>
        <v/>
      </c>
      <c r="K746" s="17" t="str">
        <f>IF(I746="","",MATCH($I746,Settings!$F$5:$F$46,0))</f>
        <v/>
      </c>
      <c r="L746" s="18"/>
    </row>
    <row r="747" spans="2:12" x14ac:dyDescent="0.25">
      <c r="B747" s="16"/>
      <c r="C747" s="17" t="str">
        <f>IF(B747="","",IF(AND($B747&gt;=Settings!$C$10,$B747&lt;=Settings!$C$11),"OK","ERROR"))</f>
        <v/>
      </c>
      <c r="D747" s="18"/>
      <c r="E747" s="5"/>
      <c r="F747" s="19"/>
      <c r="G747" s="20" t="str">
        <f t="shared" si="22"/>
        <v/>
      </c>
      <c r="H747" s="18"/>
      <c r="I747" s="5"/>
      <c r="J747" s="21" t="str">
        <f t="shared" si="23"/>
        <v/>
      </c>
      <c r="K747" s="17" t="str">
        <f>IF(I747="","",MATCH($I747,Settings!$F$5:$F$46,0))</f>
        <v/>
      </c>
      <c r="L747" s="18"/>
    </row>
    <row r="748" spans="2:12" x14ac:dyDescent="0.25">
      <c r="B748" s="16"/>
      <c r="C748" s="17" t="str">
        <f>IF(B748="","",IF(AND($B748&gt;=Settings!$C$10,$B748&lt;=Settings!$C$11),"OK","ERROR"))</f>
        <v/>
      </c>
      <c r="D748" s="18"/>
      <c r="E748" s="5"/>
      <c r="F748" s="19"/>
      <c r="G748" s="20" t="str">
        <f t="shared" si="22"/>
        <v/>
      </c>
      <c r="H748" s="18"/>
      <c r="I748" s="5"/>
      <c r="J748" s="21" t="str">
        <f t="shared" si="23"/>
        <v/>
      </c>
      <c r="K748" s="17" t="str">
        <f>IF(I748="","",MATCH($I748,Settings!$F$5:$F$46,0))</f>
        <v/>
      </c>
      <c r="L748" s="18"/>
    </row>
    <row r="749" spans="2:12" x14ac:dyDescent="0.25">
      <c r="B749" s="16"/>
      <c r="C749" s="17" t="str">
        <f>IF(B749="","",IF(AND($B749&gt;=Settings!$C$10,$B749&lt;=Settings!$C$11),"OK","ERROR"))</f>
        <v/>
      </c>
      <c r="D749" s="18"/>
      <c r="E749" s="5"/>
      <c r="F749" s="19"/>
      <c r="G749" s="20" t="str">
        <f t="shared" si="22"/>
        <v/>
      </c>
      <c r="H749" s="18"/>
      <c r="I749" s="5"/>
      <c r="J749" s="21" t="str">
        <f t="shared" si="23"/>
        <v/>
      </c>
      <c r="K749" s="17" t="str">
        <f>IF(I749="","",MATCH($I749,Settings!$F$5:$F$46,0))</f>
        <v/>
      </c>
      <c r="L749" s="18"/>
    </row>
    <row r="750" spans="2:12" x14ac:dyDescent="0.25">
      <c r="B750" s="16"/>
      <c r="C750" s="17" t="str">
        <f>IF(B750="","",IF(AND($B750&gt;=Settings!$C$10,$B750&lt;=Settings!$C$11),"OK","ERROR"))</f>
        <v/>
      </c>
      <c r="D750" s="18"/>
      <c r="E750" s="5"/>
      <c r="F750" s="19"/>
      <c r="G750" s="20" t="str">
        <f t="shared" si="22"/>
        <v/>
      </c>
      <c r="H750" s="18"/>
      <c r="I750" s="5"/>
      <c r="J750" s="21" t="str">
        <f t="shared" si="23"/>
        <v/>
      </c>
      <c r="K750" s="17" t="str">
        <f>IF(I750="","",MATCH($I750,Settings!$F$5:$F$46,0))</f>
        <v/>
      </c>
      <c r="L750" s="18"/>
    </row>
    <row r="751" spans="2:12" x14ac:dyDescent="0.25">
      <c r="B751" s="16"/>
      <c r="C751" s="17" t="str">
        <f>IF(B751="","",IF(AND($B751&gt;=Settings!$C$10,$B751&lt;=Settings!$C$11),"OK","ERROR"))</f>
        <v/>
      </c>
      <c r="D751" s="18"/>
      <c r="E751" s="5"/>
      <c r="F751" s="19"/>
      <c r="G751" s="20" t="str">
        <f t="shared" si="22"/>
        <v/>
      </c>
      <c r="H751" s="18"/>
      <c r="I751" s="5"/>
      <c r="J751" s="21" t="str">
        <f t="shared" si="23"/>
        <v/>
      </c>
      <c r="K751" s="17" t="str">
        <f>IF(I751="","",MATCH($I751,Settings!$F$5:$F$46,0))</f>
        <v/>
      </c>
      <c r="L751" s="18"/>
    </row>
    <row r="752" spans="2:12" x14ac:dyDescent="0.25">
      <c r="B752" s="16"/>
      <c r="C752" s="17" t="str">
        <f>IF(B752="","",IF(AND($B752&gt;=Settings!$C$10,$B752&lt;=Settings!$C$11),"OK","ERROR"))</f>
        <v/>
      </c>
      <c r="D752" s="18"/>
      <c r="E752" s="5"/>
      <c r="F752" s="19"/>
      <c r="G752" s="20" t="str">
        <f t="shared" si="22"/>
        <v/>
      </c>
      <c r="H752" s="18"/>
      <c r="I752" s="5"/>
      <c r="J752" s="21" t="str">
        <f t="shared" si="23"/>
        <v/>
      </c>
      <c r="K752" s="17" t="str">
        <f>IF(I752="","",MATCH($I752,Settings!$F$5:$F$46,0))</f>
        <v/>
      </c>
      <c r="L752" s="18"/>
    </row>
    <row r="753" spans="2:12" x14ac:dyDescent="0.25">
      <c r="B753" s="16"/>
      <c r="C753" s="17" t="str">
        <f>IF(B753="","",IF(AND($B753&gt;=Settings!$C$10,$B753&lt;=Settings!$C$11),"OK","ERROR"))</f>
        <v/>
      </c>
      <c r="D753" s="18"/>
      <c r="E753" s="5"/>
      <c r="F753" s="19"/>
      <c r="G753" s="20" t="str">
        <f t="shared" si="22"/>
        <v/>
      </c>
      <c r="H753" s="18"/>
      <c r="I753" s="5"/>
      <c r="J753" s="21" t="str">
        <f t="shared" si="23"/>
        <v/>
      </c>
      <c r="K753" s="17" t="str">
        <f>IF(I753="","",MATCH($I753,Settings!$F$5:$F$46,0))</f>
        <v/>
      </c>
      <c r="L753" s="18"/>
    </row>
    <row r="754" spans="2:12" x14ac:dyDescent="0.25">
      <c r="B754" s="16"/>
      <c r="C754" s="17" t="str">
        <f>IF(B754="","",IF(AND($B754&gt;=Settings!$C$10,$B754&lt;=Settings!$C$11),"OK","ERROR"))</f>
        <v/>
      </c>
      <c r="D754" s="18"/>
      <c r="E754" s="5"/>
      <c r="F754" s="19"/>
      <c r="G754" s="20" t="str">
        <f t="shared" si="22"/>
        <v/>
      </c>
      <c r="H754" s="18"/>
      <c r="I754" s="5"/>
      <c r="J754" s="21" t="str">
        <f t="shared" si="23"/>
        <v/>
      </c>
      <c r="K754" s="17" t="str">
        <f>IF(I754="","",MATCH($I754,Settings!$F$5:$F$46,0))</f>
        <v/>
      </c>
      <c r="L754" s="18"/>
    </row>
    <row r="755" spans="2:12" x14ac:dyDescent="0.25">
      <c r="B755" s="16"/>
      <c r="C755" s="17" t="str">
        <f>IF(B755="","",IF(AND($B755&gt;=Settings!$C$10,$B755&lt;=Settings!$C$11),"OK","ERROR"))</f>
        <v/>
      </c>
      <c r="D755" s="18"/>
      <c r="E755" s="5"/>
      <c r="F755" s="19"/>
      <c r="G755" s="20" t="str">
        <f t="shared" si="22"/>
        <v/>
      </c>
      <c r="H755" s="18"/>
      <c r="I755" s="5"/>
      <c r="J755" s="21" t="str">
        <f t="shared" si="23"/>
        <v/>
      </c>
      <c r="K755" s="17" t="str">
        <f>IF(I755="","",MATCH($I755,Settings!$F$5:$F$46,0))</f>
        <v/>
      </c>
      <c r="L755" s="18"/>
    </row>
    <row r="756" spans="2:12" x14ac:dyDescent="0.25">
      <c r="B756" s="16"/>
      <c r="C756" s="17" t="str">
        <f>IF(B756="","",IF(AND($B756&gt;=Settings!$C$10,$B756&lt;=Settings!$C$11),"OK","ERROR"))</f>
        <v/>
      </c>
      <c r="D756" s="18"/>
      <c r="E756" s="5"/>
      <c r="F756" s="19"/>
      <c r="G756" s="20" t="str">
        <f t="shared" si="22"/>
        <v/>
      </c>
      <c r="H756" s="18"/>
      <c r="I756" s="5"/>
      <c r="J756" s="21" t="str">
        <f t="shared" si="23"/>
        <v/>
      </c>
      <c r="K756" s="17" t="str">
        <f>IF(I756="","",MATCH($I756,Settings!$F$5:$F$46,0))</f>
        <v/>
      </c>
      <c r="L756" s="18"/>
    </row>
    <row r="757" spans="2:12" x14ac:dyDescent="0.25">
      <c r="B757" s="16"/>
      <c r="C757" s="17" t="str">
        <f>IF(B757="","",IF(AND($B757&gt;=Settings!$C$10,$B757&lt;=Settings!$C$11),"OK","ERROR"))</f>
        <v/>
      </c>
      <c r="D757" s="18"/>
      <c r="E757" s="5"/>
      <c r="F757" s="19"/>
      <c r="G757" s="20" t="str">
        <f t="shared" si="22"/>
        <v/>
      </c>
      <c r="H757" s="18"/>
      <c r="I757" s="5"/>
      <c r="J757" s="21" t="str">
        <f t="shared" si="23"/>
        <v/>
      </c>
      <c r="K757" s="17" t="str">
        <f>IF(I757="","",MATCH($I757,Settings!$F$5:$F$46,0))</f>
        <v/>
      </c>
      <c r="L757" s="18"/>
    </row>
    <row r="758" spans="2:12" x14ac:dyDescent="0.25">
      <c r="B758" s="16"/>
      <c r="C758" s="17" t="str">
        <f>IF(B758="","",IF(AND($B758&gt;=Settings!$C$10,$B758&lt;=Settings!$C$11),"OK","ERROR"))</f>
        <v/>
      </c>
      <c r="D758" s="18"/>
      <c r="E758" s="5"/>
      <c r="F758" s="19"/>
      <c r="G758" s="20" t="str">
        <f t="shared" si="22"/>
        <v/>
      </c>
      <c r="H758" s="18"/>
      <c r="I758" s="5"/>
      <c r="J758" s="21" t="str">
        <f t="shared" si="23"/>
        <v/>
      </c>
      <c r="K758" s="17" t="str">
        <f>IF(I758="","",MATCH($I758,Settings!$F$5:$F$46,0))</f>
        <v/>
      </c>
      <c r="L758" s="18"/>
    </row>
    <row r="759" spans="2:12" x14ac:dyDescent="0.25">
      <c r="B759" s="16"/>
      <c r="C759" s="17" t="str">
        <f>IF(B759="","",IF(AND($B759&gt;=Settings!$C$10,$B759&lt;=Settings!$C$11),"OK","ERROR"))</f>
        <v/>
      </c>
      <c r="D759" s="18"/>
      <c r="E759" s="5"/>
      <c r="F759" s="19"/>
      <c r="G759" s="20" t="str">
        <f t="shared" si="22"/>
        <v/>
      </c>
      <c r="H759" s="18"/>
      <c r="I759" s="5"/>
      <c r="J759" s="21" t="str">
        <f t="shared" si="23"/>
        <v/>
      </c>
      <c r="K759" s="17" t="str">
        <f>IF(I759="","",MATCH($I759,Settings!$F$5:$F$46,0))</f>
        <v/>
      </c>
      <c r="L759" s="18"/>
    </row>
    <row r="760" spans="2:12" x14ac:dyDescent="0.25">
      <c r="B760" s="16"/>
      <c r="C760" s="17" t="str">
        <f>IF(B760="","",IF(AND($B760&gt;=Settings!$C$10,$B760&lt;=Settings!$C$11),"OK","ERROR"))</f>
        <v/>
      </c>
      <c r="D760" s="18"/>
      <c r="E760" s="5"/>
      <c r="F760" s="19"/>
      <c r="G760" s="20" t="str">
        <f t="shared" si="22"/>
        <v/>
      </c>
      <c r="H760" s="18"/>
      <c r="I760" s="5"/>
      <c r="J760" s="21" t="str">
        <f t="shared" si="23"/>
        <v/>
      </c>
      <c r="K760" s="17" t="str">
        <f>IF(I760="","",MATCH($I760,Settings!$F$5:$F$46,0))</f>
        <v/>
      </c>
      <c r="L760" s="18"/>
    </row>
    <row r="761" spans="2:12" x14ac:dyDescent="0.25">
      <c r="B761" s="16"/>
      <c r="C761" s="17" t="str">
        <f>IF(B761="","",IF(AND($B761&gt;=Settings!$C$10,$B761&lt;=Settings!$C$11),"OK","ERROR"))</f>
        <v/>
      </c>
      <c r="D761" s="18"/>
      <c r="E761" s="5"/>
      <c r="F761" s="19"/>
      <c r="G761" s="20" t="str">
        <f t="shared" si="22"/>
        <v/>
      </c>
      <c r="H761" s="18"/>
      <c r="I761" s="5"/>
      <c r="J761" s="21" t="str">
        <f t="shared" si="23"/>
        <v/>
      </c>
      <c r="K761" s="17" t="str">
        <f>IF(I761="","",MATCH($I761,Settings!$F$5:$F$46,0))</f>
        <v/>
      </c>
      <c r="L761" s="18"/>
    </row>
    <row r="762" spans="2:12" x14ac:dyDescent="0.25">
      <c r="B762" s="16"/>
      <c r="C762" s="17" t="str">
        <f>IF(B762="","",IF(AND($B762&gt;=Settings!$C$10,$B762&lt;=Settings!$C$11),"OK","ERROR"))</f>
        <v/>
      </c>
      <c r="D762" s="18"/>
      <c r="E762" s="5"/>
      <c r="F762" s="19"/>
      <c r="G762" s="20" t="str">
        <f t="shared" si="22"/>
        <v/>
      </c>
      <c r="H762" s="18"/>
      <c r="I762" s="5"/>
      <c r="J762" s="21" t="str">
        <f t="shared" si="23"/>
        <v/>
      </c>
      <c r="K762" s="17" t="str">
        <f>IF(I762="","",MATCH($I762,Settings!$F$5:$F$46,0))</f>
        <v/>
      </c>
      <c r="L762" s="18"/>
    </row>
    <row r="763" spans="2:12" x14ac:dyDescent="0.25">
      <c r="B763" s="16"/>
      <c r="C763" s="17" t="str">
        <f>IF(B763="","",IF(AND($B763&gt;=Settings!$C$10,$B763&lt;=Settings!$C$11),"OK","ERROR"))</f>
        <v/>
      </c>
      <c r="D763" s="18"/>
      <c r="E763" s="5"/>
      <c r="F763" s="19"/>
      <c r="G763" s="20" t="str">
        <f t="shared" si="22"/>
        <v/>
      </c>
      <c r="H763" s="18"/>
      <c r="I763" s="5"/>
      <c r="J763" s="21" t="str">
        <f t="shared" si="23"/>
        <v/>
      </c>
      <c r="K763" s="17" t="str">
        <f>IF(I763="","",MATCH($I763,Settings!$F$5:$F$46,0))</f>
        <v/>
      </c>
      <c r="L763" s="18"/>
    </row>
    <row r="764" spans="2:12" x14ac:dyDescent="0.25">
      <c r="B764" s="16"/>
      <c r="C764" s="17" t="str">
        <f>IF(B764="","",IF(AND($B764&gt;=Settings!$C$10,$B764&lt;=Settings!$C$11),"OK","ERROR"))</f>
        <v/>
      </c>
      <c r="D764" s="18"/>
      <c r="E764" s="5"/>
      <c r="F764" s="19"/>
      <c r="G764" s="20" t="str">
        <f t="shared" si="22"/>
        <v/>
      </c>
      <c r="H764" s="18"/>
      <c r="I764" s="5"/>
      <c r="J764" s="21" t="str">
        <f t="shared" si="23"/>
        <v/>
      </c>
      <c r="K764" s="17" t="str">
        <f>IF(I764="","",MATCH($I764,Settings!$F$5:$F$46,0))</f>
        <v/>
      </c>
      <c r="L764" s="18"/>
    </row>
    <row r="765" spans="2:12" x14ac:dyDescent="0.25">
      <c r="B765" s="16"/>
      <c r="C765" s="17" t="str">
        <f>IF(B765="","",IF(AND($B765&gt;=Settings!$C$10,$B765&lt;=Settings!$C$11),"OK","ERROR"))</f>
        <v/>
      </c>
      <c r="D765" s="18"/>
      <c r="E765" s="5"/>
      <c r="F765" s="19"/>
      <c r="G765" s="20" t="str">
        <f t="shared" si="22"/>
        <v/>
      </c>
      <c r="H765" s="18"/>
      <c r="I765" s="5"/>
      <c r="J765" s="21" t="str">
        <f t="shared" si="23"/>
        <v/>
      </c>
      <c r="K765" s="17" t="str">
        <f>IF(I765="","",MATCH($I765,Settings!$F$5:$F$46,0))</f>
        <v/>
      </c>
      <c r="L765" s="18"/>
    </row>
    <row r="766" spans="2:12" x14ac:dyDescent="0.25">
      <c r="B766" s="16"/>
      <c r="C766" s="17" t="str">
        <f>IF(B766="","",IF(AND($B766&gt;=Settings!$C$10,$B766&lt;=Settings!$C$11),"OK","ERROR"))</f>
        <v/>
      </c>
      <c r="D766" s="18"/>
      <c r="E766" s="5"/>
      <c r="F766" s="19"/>
      <c r="G766" s="20" t="str">
        <f t="shared" si="22"/>
        <v/>
      </c>
      <c r="H766" s="18"/>
      <c r="I766" s="5"/>
      <c r="J766" s="21" t="str">
        <f t="shared" si="23"/>
        <v/>
      </c>
      <c r="K766" s="17" t="str">
        <f>IF(I766="","",MATCH($I766,Settings!$F$5:$F$46,0))</f>
        <v/>
      </c>
      <c r="L766" s="18"/>
    </row>
    <row r="767" spans="2:12" x14ac:dyDescent="0.25">
      <c r="B767" s="16"/>
      <c r="C767" s="17" t="str">
        <f>IF(B767="","",IF(AND($B767&gt;=Settings!$C$10,$B767&lt;=Settings!$C$11),"OK","ERROR"))</f>
        <v/>
      </c>
      <c r="D767" s="18"/>
      <c r="E767" s="5"/>
      <c r="F767" s="19"/>
      <c r="G767" s="20" t="str">
        <f t="shared" si="22"/>
        <v/>
      </c>
      <c r="H767" s="18"/>
      <c r="I767" s="5"/>
      <c r="J767" s="21" t="str">
        <f t="shared" si="23"/>
        <v/>
      </c>
      <c r="K767" s="17" t="str">
        <f>IF(I767="","",MATCH($I767,Settings!$F$5:$F$46,0))</f>
        <v/>
      </c>
      <c r="L767" s="18"/>
    </row>
    <row r="768" spans="2:12" x14ac:dyDescent="0.25">
      <c r="B768" s="16"/>
      <c r="C768" s="17" t="str">
        <f>IF(B768="","",IF(AND($B768&gt;=Settings!$C$10,$B768&lt;=Settings!$C$11),"OK","ERROR"))</f>
        <v/>
      </c>
      <c r="D768" s="18"/>
      <c r="E768" s="5"/>
      <c r="F768" s="19"/>
      <c r="G768" s="20" t="str">
        <f t="shared" si="22"/>
        <v/>
      </c>
      <c r="H768" s="18"/>
      <c r="I768" s="5"/>
      <c r="J768" s="21" t="str">
        <f t="shared" si="23"/>
        <v/>
      </c>
      <c r="K768" s="17" t="str">
        <f>IF(I768="","",MATCH($I768,Settings!$F$5:$F$46,0))</f>
        <v/>
      </c>
      <c r="L768" s="18"/>
    </row>
    <row r="769" spans="2:12" x14ac:dyDescent="0.25">
      <c r="B769" s="16"/>
      <c r="C769" s="17" t="str">
        <f>IF(B769="","",IF(AND($B769&gt;=Settings!$C$10,$B769&lt;=Settings!$C$11),"OK","ERROR"))</f>
        <v/>
      </c>
      <c r="D769" s="18"/>
      <c r="E769" s="5"/>
      <c r="F769" s="19"/>
      <c r="G769" s="20" t="str">
        <f t="shared" si="22"/>
        <v/>
      </c>
      <c r="H769" s="18"/>
      <c r="I769" s="5"/>
      <c r="J769" s="21" t="str">
        <f t="shared" si="23"/>
        <v/>
      </c>
      <c r="K769" s="17" t="str">
        <f>IF(I769="","",MATCH($I769,Settings!$F$5:$F$46,0))</f>
        <v/>
      </c>
      <c r="L769" s="18"/>
    </row>
    <row r="770" spans="2:12" x14ac:dyDescent="0.25">
      <c r="B770" s="16"/>
      <c r="C770" s="17" t="str">
        <f>IF(B770="","",IF(AND($B770&gt;=Settings!$C$10,$B770&lt;=Settings!$C$11),"OK","ERROR"))</f>
        <v/>
      </c>
      <c r="D770" s="18"/>
      <c r="E770" s="5"/>
      <c r="F770" s="19"/>
      <c r="G770" s="20" t="str">
        <f t="shared" si="22"/>
        <v/>
      </c>
      <c r="H770" s="18"/>
      <c r="I770" s="5"/>
      <c r="J770" s="21" t="str">
        <f t="shared" si="23"/>
        <v/>
      </c>
      <c r="K770" s="17" t="str">
        <f>IF(I770="","",MATCH($I770,Settings!$F$5:$F$46,0))</f>
        <v/>
      </c>
      <c r="L770" s="18"/>
    </row>
    <row r="771" spans="2:12" x14ac:dyDescent="0.25">
      <c r="B771" s="16"/>
      <c r="C771" s="17" t="str">
        <f>IF(B771="","",IF(AND($B771&gt;=Settings!$C$10,$B771&lt;=Settings!$C$11),"OK","ERROR"))</f>
        <v/>
      </c>
      <c r="D771" s="18"/>
      <c r="E771" s="5"/>
      <c r="F771" s="19"/>
      <c r="G771" s="20" t="str">
        <f t="shared" si="22"/>
        <v/>
      </c>
      <c r="H771" s="18"/>
      <c r="I771" s="5"/>
      <c r="J771" s="21" t="str">
        <f t="shared" si="23"/>
        <v/>
      </c>
      <c r="K771" s="17" t="str">
        <f>IF(I771="","",MATCH($I771,Settings!$F$5:$F$46,0))</f>
        <v/>
      </c>
      <c r="L771" s="18"/>
    </row>
    <row r="772" spans="2:12" x14ac:dyDescent="0.25">
      <c r="B772" s="16"/>
      <c r="C772" s="17" t="str">
        <f>IF(B772="","",IF(AND($B772&gt;=Settings!$C$10,$B772&lt;=Settings!$C$11),"OK","ERROR"))</f>
        <v/>
      </c>
      <c r="D772" s="18"/>
      <c r="E772" s="5"/>
      <c r="F772" s="19"/>
      <c r="G772" s="20" t="str">
        <f t="shared" si="22"/>
        <v/>
      </c>
      <c r="H772" s="18"/>
      <c r="I772" s="5"/>
      <c r="J772" s="21" t="str">
        <f t="shared" si="23"/>
        <v/>
      </c>
      <c r="K772" s="17" t="str">
        <f>IF(I772="","",MATCH($I772,Settings!$F$5:$F$46,0))</f>
        <v/>
      </c>
      <c r="L772" s="18"/>
    </row>
    <row r="773" spans="2:12" x14ac:dyDescent="0.25">
      <c r="B773" s="16"/>
      <c r="C773" s="17" t="str">
        <f>IF(B773="","",IF(AND($B773&gt;=Settings!$C$10,$B773&lt;=Settings!$C$11),"OK","ERROR"))</f>
        <v/>
      </c>
      <c r="D773" s="18"/>
      <c r="E773" s="5"/>
      <c r="F773" s="19"/>
      <c r="G773" s="20" t="str">
        <f t="shared" si="22"/>
        <v/>
      </c>
      <c r="H773" s="18"/>
      <c r="I773" s="5"/>
      <c r="J773" s="21" t="str">
        <f t="shared" si="23"/>
        <v/>
      </c>
      <c r="K773" s="17" t="str">
        <f>IF(I773="","",MATCH($I773,Settings!$F$5:$F$46,0))</f>
        <v/>
      </c>
      <c r="L773" s="18"/>
    </row>
    <row r="774" spans="2:12" x14ac:dyDescent="0.25">
      <c r="B774" s="16"/>
      <c r="C774" s="17" t="str">
        <f>IF(B774="","",IF(AND($B774&gt;=Settings!$C$10,$B774&lt;=Settings!$C$11),"OK","ERROR"))</f>
        <v/>
      </c>
      <c r="D774" s="18"/>
      <c r="E774" s="5"/>
      <c r="F774" s="19"/>
      <c r="G774" s="20" t="str">
        <f t="shared" ref="G774:G837" si="24">IF(F774="","",IF(I774&lt;&gt;"","OK","ERROR"))</f>
        <v/>
      </c>
      <c r="H774" s="18"/>
      <c r="I774" s="5"/>
      <c r="J774" s="21" t="str">
        <f t="shared" si="23"/>
        <v/>
      </c>
      <c r="K774" s="17" t="str">
        <f>IF(I774="","",MATCH($I774,Settings!$F$5:$F$46,0))</f>
        <v/>
      </c>
      <c r="L774" s="18"/>
    </row>
    <row r="775" spans="2:12" x14ac:dyDescent="0.25">
      <c r="B775" s="16"/>
      <c r="C775" s="17" t="str">
        <f>IF(B775="","",IF(AND($B775&gt;=Settings!$C$10,$B775&lt;=Settings!$C$11),"OK","ERROR"))</f>
        <v/>
      </c>
      <c r="D775" s="18"/>
      <c r="E775" s="5"/>
      <c r="F775" s="19"/>
      <c r="G775" s="20" t="str">
        <f t="shared" si="24"/>
        <v/>
      </c>
      <c r="H775" s="18"/>
      <c r="I775" s="5"/>
      <c r="J775" s="21" t="str">
        <f t="shared" ref="J775:J838" si="25">IF(I775="","",IF(ISERROR($K775)=TRUE,"ERROR","OK"))</f>
        <v/>
      </c>
      <c r="K775" s="17" t="str">
        <f>IF(I775="","",MATCH($I775,Settings!$F$5:$F$46,0))</f>
        <v/>
      </c>
      <c r="L775" s="18"/>
    </row>
    <row r="776" spans="2:12" x14ac:dyDescent="0.25">
      <c r="B776" s="16"/>
      <c r="C776" s="17" t="str">
        <f>IF(B776="","",IF(AND($B776&gt;=Settings!$C$10,$B776&lt;=Settings!$C$11),"OK","ERROR"))</f>
        <v/>
      </c>
      <c r="D776" s="18"/>
      <c r="E776" s="5"/>
      <c r="F776" s="19"/>
      <c r="G776" s="20" t="str">
        <f t="shared" si="24"/>
        <v/>
      </c>
      <c r="H776" s="18"/>
      <c r="I776" s="5"/>
      <c r="J776" s="21" t="str">
        <f t="shared" si="25"/>
        <v/>
      </c>
      <c r="K776" s="17" t="str">
        <f>IF(I776="","",MATCH($I776,Settings!$F$5:$F$46,0))</f>
        <v/>
      </c>
      <c r="L776" s="18"/>
    </row>
    <row r="777" spans="2:12" x14ac:dyDescent="0.25">
      <c r="B777" s="16"/>
      <c r="C777" s="17" t="str">
        <f>IF(B777="","",IF(AND($B777&gt;=Settings!$C$10,$B777&lt;=Settings!$C$11),"OK","ERROR"))</f>
        <v/>
      </c>
      <c r="D777" s="18"/>
      <c r="E777" s="5"/>
      <c r="F777" s="19"/>
      <c r="G777" s="20" t="str">
        <f t="shared" si="24"/>
        <v/>
      </c>
      <c r="H777" s="18"/>
      <c r="I777" s="5"/>
      <c r="J777" s="21" t="str">
        <f t="shared" si="25"/>
        <v/>
      </c>
      <c r="K777" s="17" t="str">
        <f>IF(I777="","",MATCH($I777,Settings!$F$5:$F$46,0))</f>
        <v/>
      </c>
      <c r="L777" s="18"/>
    </row>
    <row r="778" spans="2:12" x14ac:dyDescent="0.25">
      <c r="B778" s="16"/>
      <c r="C778" s="17" t="str">
        <f>IF(B778="","",IF(AND($B778&gt;=Settings!$C$10,$B778&lt;=Settings!$C$11),"OK","ERROR"))</f>
        <v/>
      </c>
      <c r="D778" s="18"/>
      <c r="E778" s="5"/>
      <c r="F778" s="19"/>
      <c r="G778" s="20" t="str">
        <f t="shared" si="24"/>
        <v/>
      </c>
      <c r="H778" s="18"/>
      <c r="I778" s="5"/>
      <c r="J778" s="21" t="str">
        <f t="shared" si="25"/>
        <v/>
      </c>
      <c r="K778" s="17" t="str">
        <f>IF(I778="","",MATCH($I778,Settings!$F$5:$F$46,0))</f>
        <v/>
      </c>
      <c r="L778" s="18"/>
    </row>
    <row r="779" spans="2:12" x14ac:dyDescent="0.25">
      <c r="B779" s="16"/>
      <c r="C779" s="17" t="str">
        <f>IF(B779="","",IF(AND($B779&gt;=Settings!$C$10,$B779&lt;=Settings!$C$11),"OK","ERROR"))</f>
        <v/>
      </c>
      <c r="D779" s="18"/>
      <c r="E779" s="5"/>
      <c r="F779" s="19"/>
      <c r="G779" s="20" t="str">
        <f t="shared" si="24"/>
        <v/>
      </c>
      <c r="H779" s="18"/>
      <c r="I779" s="5"/>
      <c r="J779" s="21" t="str">
        <f t="shared" si="25"/>
        <v/>
      </c>
      <c r="K779" s="17" t="str">
        <f>IF(I779="","",MATCH($I779,Settings!$F$5:$F$46,0))</f>
        <v/>
      </c>
      <c r="L779" s="18"/>
    </row>
    <row r="780" spans="2:12" x14ac:dyDescent="0.25">
      <c r="B780" s="16"/>
      <c r="C780" s="17" t="str">
        <f>IF(B780="","",IF(AND($B780&gt;=Settings!$C$10,$B780&lt;=Settings!$C$11),"OK","ERROR"))</f>
        <v/>
      </c>
      <c r="D780" s="18"/>
      <c r="E780" s="5"/>
      <c r="F780" s="19"/>
      <c r="G780" s="20" t="str">
        <f t="shared" si="24"/>
        <v/>
      </c>
      <c r="H780" s="18"/>
      <c r="I780" s="5"/>
      <c r="J780" s="21" t="str">
        <f t="shared" si="25"/>
        <v/>
      </c>
      <c r="K780" s="17" t="str">
        <f>IF(I780="","",MATCH($I780,Settings!$F$5:$F$46,0))</f>
        <v/>
      </c>
      <c r="L780" s="18"/>
    </row>
    <row r="781" spans="2:12" x14ac:dyDescent="0.25">
      <c r="B781" s="16"/>
      <c r="C781" s="17" t="str">
        <f>IF(B781="","",IF(AND($B781&gt;=Settings!$C$10,$B781&lt;=Settings!$C$11),"OK","ERROR"))</f>
        <v/>
      </c>
      <c r="D781" s="18"/>
      <c r="E781" s="5"/>
      <c r="F781" s="19"/>
      <c r="G781" s="20" t="str">
        <f t="shared" si="24"/>
        <v/>
      </c>
      <c r="H781" s="18"/>
      <c r="I781" s="5"/>
      <c r="J781" s="21" t="str">
        <f t="shared" si="25"/>
        <v/>
      </c>
      <c r="K781" s="17" t="str">
        <f>IF(I781="","",MATCH($I781,Settings!$F$5:$F$46,0))</f>
        <v/>
      </c>
      <c r="L781" s="18"/>
    </row>
    <row r="782" spans="2:12" x14ac:dyDescent="0.25">
      <c r="B782" s="16"/>
      <c r="C782" s="17" t="str">
        <f>IF(B782="","",IF(AND($B782&gt;=Settings!$C$10,$B782&lt;=Settings!$C$11),"OK","ERROR"))</f>
        <v/>
      </c>
      <c r="D782" s="18"/>
      <c r="E782" s="5"/>
      <c r="F782" s="19"/>
      <c r="G782" s="20" t="str">
        <f t="shared" si="24"/>
        <v/>
      </c>
      <c r="H782" s="18"/>
      <c r="I782" s="5"/>
      <c r="J782" s="21" t="str">
        <f t="shared" si="25"/>
        <v/>
      </c>
      <c r="K782" s="17" t="str">
        <f>IF(I782="","",MATCH($I782,Settings!$F$5:$F$46,0))</f>
        <v/>
      </c>
      <c r="L782" s="18"/>
    </row>
    <row r="783" spans="2:12" x14ac:dyDescent="0.25">
      <c r="B783" s="16"/>
      <c r="C783" s="17" t="str">
        <f>IF(B783="","",IF(AND($B783&gt;=Settings!$C$10,$B783&lt;=Settings!$C$11),"OK","ERROR"))</f>
        <v/>
      </c>
      <c r="D783" s="18"/>
      <c r="E783" s="5"/>
      <c r="F783" s="19"/>
      <c r="G783" s="20" t="str">
        <f t="shared" si="24"/>
        <v/>
      </c>
      <c r="H783" s="18"/>
      <c r="I783" s="5"/>
      <c r="J783" s="21" t="str">
        <f t="shared" si="25"/>
        <v/>
      </c>
      <c r="K783" s="17" t="str">
        <f>IF(I783="","",MATCH($I783,Settings!$F$5:$F$46,0))</f>
        <v/>
      </c>
      <c r="L783" s="18"/>
    </row>
    <row r="784" spans="2:12" x14ac:dyDescent="0.25">
      <c r="B784" s="16"/>
      <c r="C784" s="17" t="str">
        <f>IF(B784="","",IF(AND($B784&gt;=Settings!$C$10,$B784&lt;=Settings!$C$11),"OK","ERROR"))</f>
        <v/>
      </c>
      <c r="D784" s="18"/>
      <c r="E784" s="5"/>
      <c r="F784" s="19"/>
      <c r="G784" s="20" t="str">
        <f t="shared" si="24"/>
        <v/>
      </c>
      <c r="H784" s="18"/>
      <c r="I784" s="5"/>
      <c r="J784" s="21" t="str">
        <f t="shared" si="25"/>
        <v/>
      </c>
      <c r="K784" s="17" t="str">
        <f>IF(I784="","",MATCH($I784,Settings!$F$5:$F$46,0))</f>
        <v/>
      </c>
      <c r="L784" s="18"/>
    </row>
    <row r="785" spans="2:12" x14ac:dyDescent="0.25">
      <c r="B785" s="16"/>
      <c r="C785" s="17" t="str">
        <f>IF(B785="","",IF(AND($B785&gt;=Settings!$C$10,$B785&lt;=Settings!$C$11),"OK","ERROR"))</f>
        <v/>
      </c>
      <c r="D785" s="18"/>
      <c r="E785" s="5"/>
      <c r="F785" s="19"/>
      <c r="G785" s="20" t="str">
        <f t="shared" si="24"/>
        <v/>
      </c>
      <c r="H785" s="18"/>
      <c r="I785" s="5"/>
      <c r="J785" s="21" t="str">
        <f t="shared" si="25"/>
        <v/>
      </c>
      <c r="K785" s="17" t="str">
        <f>IF(I785="","",MATCH($I785,Settings!$F$5:$F$46,0))</f>
        <v/>
      </c>
      <c r="L785" s="18"/>
    </row>
    <row r="786" spans="2:12" x14ac:dyDescent="0.25">
      <c r="B786" s="16"/>
      <c r="C786" s="17" t="str">
        <f>IF(B786="","",IF(AND($B786&gt;=Settings!$C$10,$B786&lt;=Settings!$C$11),"OK","ERROR"))</f>
        <v/>
      </c>
      <c r="D786" s="18"/>
      <c r="E786" s="5"/>
      <c r="F786" s="19"/>
      <c r="G786" s="20" t="str">
        <f t="shared" si="24"/>
        <v/>
      </c>
      <c r="H786" s="18"/>
      <c r="I786" s="5"/>
      <c r="J786" s="21" t="str">
        <f t="shared" si="25"/>
        <v/>
      </c>
      <c r="K786" s="17" t="str">
        <f>IF(I786="","",MATCH($I786,Settings!$F$5:$F$46,0))</f>
        <v/>
      </c>
      <c r="L786" s="18"/>
    </row>
    <row r="787" spans="2:12" x14ac:dyDescent="0.25">
      <c r="B787" s="16"/>
      <c r="C787" s="17" t="str">
        <f>IF(B787="","",IF(AND($B787&gt;=Settings!$C$10,$B787&lt;=Settings!$C$11),"OK","ERROR"))</f>
        <v/>
      </c>
      <c r="D787" s="18"/>
      <c r="E787" s="5"/>
      <c r="F787" s="19"/>
      <c r="G787" s="20" t="str">
        <f t="shared" si="24"/>
        <v/>
      </c>
      <c r="H787" s="18"/>
      <c r="I787" s="5"/>
      <c r="J787" s="21" t="str">
        <f t="shared" si="25"/>
        <v/>
      </c>
      <c r="K787" s="17" t="str">
        <f>IF(I787="","",MATCH($I787,Settings!$F$5:$F$46,0))</f>
        <v/>
      </c>
      <c r="L787" s="18"/>
    </row>
    <row r="788" spans="2:12" x14ac:dyDescent="0.25">
      <c r="B788" s="16"/>
      <c r="C788" s="17" t="str">
        <f>IF(B788="","",IF(AND($B788&gt;=Settings!$C$10,$B788&lt;=Settings!$C$11),"OK","ERROR"))</f>
        <v/>
      </c>
      <c r="D788" s="18"/>
      <c r="E788" s="5"/>
      <c r="F788" s="19"/>
      <c r="G788" s="20" t="str">
        <f t="shared" si="24"/>
        <v/>
      </c>
      <c r="H788" s="18"/>
      <c r="I788" s="5"/>
      <c r="J788" s="21" t="str">
        <f t="shared" si="25"/>
        <v/>
      </c>
      <c r="K788" s="17" t="str">
        <f>IF(I788="","",MATCH($I788,Settings!$F$5:$F$46,0))</f>
        <v/>
      </c>
      <c r="L788" s="18"/>
    </row>
    <row r="789" spans="2:12" x14ac:dyDescent="0.25">
      <c r="B789" s="16"/>
      <c r="C789" s="17" t="str">
        <f>IF(B789="","",IF(AND($B789&gt;=Settings!$C$10,$B789&lt;=Settings!$C$11),"OK","ERROR"))</f>
        <v/>
      </c>
      <c r="D789" s="18"/>
      <c r="E789" s="5"/>
      <c r="F789" s="19"/>
      <c r="G789" s="20" t="str">
        <f t="shared" si="24"/>
        <v/>
      </c>
      <c r="H789" s="18"/>
      <c r="I789" s="5"/>
      <c r="J789" s="21" t="str">
        <f t="shared" si="25"/>
        <v/>
      </c>
      <c r="K789" s="17" t="str">
        <f>IF(I789="","",MATCH($I789,Settings!$F$5:$F$46,0))</f>
        <v/>
      </c>
      <c r="L789" s="18"/>
    </row>
    <row r="790" spans="2:12" x14ac:dyDescent="0.25">
      <c r="B790" s="16"/>
      <c r="C790" s="17" t="str">
        <f>IF(B790="","",IF(AND($B790&gt;=Settings!$C$10,$B790&lt;=Settings!$C$11),"OK","ERROR"))</f>
        <v/>
      </c>
      <c r="D790" s="18"/>
      <c r="E790" s="5"/>
      <c r="F790" s="19"/>
      <c r="G790" s="20" t="str">
        <f t="shared" si="24"/>
        <v/>
      </c>
      <c r="H790" s="18"/>
      <c r="I790" s="5"/>
      <c r="J790" s="21" t="str">
        <f t="shared" si="25"/>
        <v/>
      </c>
      <c r="K790" s="17" t="str">
        <f>IF(I790="","",MATCH($I790,Settings!$F$5:$F$46,0))</f>
        <v/>
      </c>
      <c r="L790" s="18"/>
    </row>
    <row r="791" spans="2:12" x14ac:dyDescent="0.25">
      <c r="B791" s="16"/>
      <c r="C791" s="17" t="str">
        <f>IF(B791="","",IF(AND($B791&gt;=Settings!$C$10,$B791&lt;=Settings!$C$11),"OK","ERROR"))</f>
        <v/>
      </c>
      <c r="D791" s="18"/>
      <c r="E791" s="5"/>
      <c r="F791" s="19"/>
      <c r="G791" s="20" t="str">
        <f t="shared" si="24"/>
        <v/>
      </c>
      <c r="H791" s="18"/>
      <c r="I791" s="5"/>
      <c r="J791" s="21" t="str">
        <f t="shared" si="25"/>
        <v/>
      </c>
      <c r="K791" s="17" t="str">
        <f>IF(I791="","",MATCH($I791,Settings!$F$5:$F$46,0))</f>
        <v/>
      </c>
      <c r="L791" s="18"/>
    </row>
    <row r="792" spans="2:12" x14ac:dyDescent="0.25">
      <c r="B792" s="16"/>
      <c r="C792" s="17" t="str">
        <f>IF(B792="","",IF(AND($B792&gt;=Settings!$C$10,$B792&lt;=Settings!$C$11),"OK","ERROR"))</f>
        <v/>
      </c>
      <c r="D792" s="18"/>
      <c r="E792" s="5"/>
      <c r="F792" s="19"/>
      <c r="G792" s="20" t="str">
        <f t="shared" si="24"/>
        <v/>
      </c>
      <c r="H792" s="18"/>
      <c r="I792" s="5"/>
      <c r="J792" s="21" t="str">
        <f t="shared" si="25"/>
        <v/>
      </c>
      <c r="K792" s="17" t="str">
        <f>IF(I792="","",MATCH($I792,Settings!$F$5:$F$46,0))</f>
        <v/>
      </c>
      <c r="L792" s="18"/>
    </row>
    <row r="793" spans="2:12" x14ac:dyDescent="0.25">
      <c r="B793" s="16"/>
      <c r="C793" s="17" t="str">
        <f>IF(B793="","",IF(AND($B793&gt;=Settings!$C$10,$B793&lt;=Settings!$C$11),"OK","ERROR"))</f>
        <v/>
      </c>
      <c r="D793" s="18"/>
      <c r="E793" s="5"/>
      <c r="F793" s="19"/>
      <c r="G793" s="20" t="str">
        <f t="shared" si="24"/>
        <v/>
      </c>
      <c r="H793" s="18"/>
      <c r="I793" s="5"/>
      <c r="J793" s="21" t="str">
        <f t="shared" si="25"/>
        <v/>
      </c>
      <c r="K793" s="17" t="str">
        <f>IF(I793="","",MATCH($I793,Settings!$F$5:$F$46,0))</f>
        <v/>
      </c>
      <c r="L793" s="18"/>
    </row>
    <row r="794" spans="2:12" x14ac:dyDescent="0.25">
      <c r="B794" s="16"/>
      <c r="C794" s="17" t="str">
        <f>IF(B794="","",IF(AND($B794&gt;=Settings!$C$10,$B794&lt;=Settings!$C$11),"OK","ERROR"))</f>
        <v/>
      </c>
      <c r="D794" s="18"/>
      <c r="E794" s="5"/>
      <c r="F794" s="19"/>
      <c r="G794" s="20" t="str">
        <f t="shared" si="24"/>
        <v/>
      </c>
      <c r="H794" s="18"/>
      <c r="I794" s="5"/>
      <c r="J794" s="21" t="str">
        <f t="shared" si="25"/>
        <v/>
      </c>
      <c r="K794" s="17" t="str">
        <f>IF(I794="","",MATCH($I794,Settings!$F$5:$F$46,0))</f>
        <v/>
      </c>
      <c r="L794" s="18"/>
    </row>
    <row r="795" spans="2:12" x14ac:dyDescent="0.25">
      <c r="B795" s="16"/>
      <c r="C795" s="17" t="str">
        <f>IF(B795="","",IF(AND($B795&gt;=Settings!$C$10,$B795&lt;=Settings!$C$11),"OK","ERROR"))</f>
        <v/>
      </c>
      <c r="D795" s="18"/>
      <c r="E795" s="5"/>
      <c r="F795" s="19"/>
      <c r="G795" s="20" t="str">
        <f t="shared" si="24"/>
        <v/>
      </c>
      <c r="H795" s="18"/>
      <c r="I795" s="5"/>
      <c r="J795" s="21" t="str">
        <f t="shared" si="25"/>
        <v/>
      </c>
      <c r="K795" s="17" t="str">
        <f>IF(I795="","",MATCH($I795,Settings!$F$5:$F$46,0))</f>
        <v/>
      </c>
      <c r="L795" s="18"/>
    </row>
    <row r="796" spans="2:12" x14ac:dyDescent="0.25">
      <c r="B796" s="16"/>
      <c r="C796" s="17" t="str">
        <f>IF(B796="","",IF(AND($B796&gt;=Settings!$C$10,$B796&lt;=Settings!$C$11),"OK","ERROR"))</f>
        <v/>
      </c>
      <c r="D796" s="18"/>
      <c r="E796" s="5"/>
      <c r="F796" s="19"/>
      <c r="G796" s="20" t="str">
        <f t="shared" si="24"/>
        <v/>
      </c>
      <c r="H796" s="18"/>
      <c r="I796" s="5"/>
      <c r="J796" s="21" t="str">
        <f t="shared" si="25"/>
        <v/>
      </c>
      <c r="K796" s="17" t="str">
        <f>IF(I796="","",MATCH($I796,Settings!$F$5:$F$46,0))</f>
        <v/>
      </c>
      <c r="L796" s="18"/>
    </row>
    <row r="797" spans="2:12" x14ac:dyDescent="0.25">
      <c r="B797" s="16"/>
      <c r="C797" s="17" t="str">
        <f>IF(B797="","",IF(AND($B797&gt;=Settings!$C$10,$B797&lt;=Settings!$C$11),"OK","ERROR"))</f>
        <v/>
      </c>
      <c r="D797" s="18"/>
      <c r="E797" s="5"/>
      <c r="F797" s="19"/>
      <c r="G797" s="20" t="str">
        <f t="shared" si="24"/>
        <v/>
      </c>
      <c r="H797" s="18"/>
      <c r="I797" s="5"/>
      <c r="J797" s="21" t="str">
        <f t="shared" si="25"/>
        <v/>
      </c>
      <c r="K797" s="17" t="str">
        <f>IF(I797="","",MATCH($I797,Settings!$F$5:$F$46,0))</f>
        <v/>
      </c>
      <c r="L797" s="18"/>
    </row>
    <row r="798" spans="2:12" x14ac:dyDescent="0.25">
      <c r="B798" s="16"/>
      <c r="C798" s="17" t="str">
        <f>IF(B798="","",IF(AND($B798&gt;=Settings!$C$10,$B798&lt;=Settings!$C$11),"OK","ERROR"))</f>
        <v/>
      </c>
      <c r="D798" s="18"/>
      <c r="E798" s="5"/>
      <c r="F798" s="19"/>
      <c r="G798" s="20" t="str">
        <f t="shared" si="24"/>
        <v/>
      </c>
      <c r="H798" s="18"/>
      <c r="I798" s="5"/>
      <c r="J798" s="21" t="str">
        <f t="shared" si="25"/>
        <v/>
      </c>
      <c r="K798" s="17" t="str">
        <f>IF(I798="","",MATCH($I798,Settings!$F$5:$F$46,0))</f>
        <v/>
      </c>
      <c r="L798" s="18"/>
    </row>
    <row r="799" spans="2:12" x14ac:dyDescent="0.25">
      <c r="B799" s="16"/>
      <c r="C799" s="17" t="str">
        <f>IF(B799="","",IF(AND($B799&gt;=Settings!$C$10,$B799&lt;=Settings!$C$11),"OK","ERROR"))</f>
        <v/>
      </c>
      <c r="D799" s="18"/>
      <c r="E799" s="5"/>
      <c r="F799" s="19"/>
      <c r="G799" s="20" t="str">
        <f t="shared" si="24"/>
        <v/>
      </c>
      <c r="H799" s="18"/>
      <c r="I799" s="5"/>
      <c r="J799" s="21" t="str">
        <f t="shared" si="25"/>
        <v/>
      </c>
      <c r="K799" s="17" t="str">
        <f>IF(I799="","",MATCH($I799,Settings!$F$5:$F$46,0))</f>
        <v/>
      </c>
      <c r="L799" s="18"/>
    </row>
    <row r="800" spans="2:12" x14ac:dyDescent="0.25">
      <c r="B800" s="16"/>
      <c r="C800" s="17" t="str">
        <f>IF(B800="","",IF(AND($B800&gt;=Settings!$C$10,$B800&lt;=Settings!$C$11),"OK","ERROR"))</f>
        <v/>
      </c>
      <c r="D800" s="18"/>
      <c r="E800" s="5"/>
      <c r="F800" s="19"/>
      <c r="G800" s="20" t="str">
        <f t="shared" si="24"/>
        <v/>
      </c>
      <c r="H800" s="18"/>
      <c r="I800" s="5"/>
      <c r="J800" s="21" t="str">
        <f t="shared" si="25"/>
        <v/>
      </c>
      <c r="K800" s="17" t="str">
        <f>IF(I800="","",MATCH($I800,Settings!$F$5:$F$46,0))</f>
        <v/>
      </c>
      <c r="L800" s="18"/>
    </row>
    <row r="801" spans="2:12" x14ac:dyDescent="0.25">
      <c r="B801" s="16"/>
      <c r="C801" s="17" t="str">
        <f>IF(B801="","",IF(AND($B801&gt;=Settings!$C$10,$B801&lt;=Settings!$C$11),"OK","ERROR"))</f>
        <v/>
      </c>
      <c r="D801" s="18"/>
      <c r="E801" s="5"/>
      <c r="F801" s="19"/>
      <c r="G801" s="20" t="str">
        <f t="shared" si="24"/>
        <v/>
      </c>
      <c r="H801" s="18"/>
      <c r="I801" s="5"/>
      <c r="J801" s="21" t="str">
        <f t="shared" si="25"/>
        <v/>
      </c>
      <c r="K801" s="17" t="str">
        <f>IF(I801="","",MATCH($I801,Settings!$F$5:$F$46,0))</f>
        <v/>
      </c>
      <c r="L801" s="18"/>
    </row>
    <row r="802" spans="2:12" x14ac:dyDescent="0.25">
      <c r="B802" s="16"/>
      <c r="C802" s="17" t="str">
        <f>IF(B802="","",IF(AND($B802&gt;=Settings!$C$10,$B802&lt;=Settings!$C$11),"OK","ERROR"))</f>
        <v/>
      </c>
      <c r="D802" s="18"/>
      <c r="E802" s="5"/>
      <c r="F802" s="19"/>
      <c r="G802" s="20" t="str">
        <f t="shared" si="24"/>
        <v/>
      </c>
      <c r="H802" s="18"/>
      <c r="I802" s="5"/>
      <c r="J802" s="21" t="str">
        <f t="shared" si="25"/>
        <v/>
      </c>
      <c r="K802" s="17" t="str">
        <f>IF(I802="","",MATCH($I802,Settings!$F$5:$F$46,0))</f>
        <v/>
      </c>
      <c r="L802" s="18"/>
    </row>
    <row r="803" spans="2:12" x14ac:dyDescent="0.25">
      <c r="B803" s="16"/>
      <c r="C803" s="17" t="str">
        <f>IF(B803="","",IF(AND($B803&gt;=Settings!$C$10,$B803&lt;=Settings!$C$11),"OK","ERROR"))</f>
        <v/>
      </c>
      <c r="D803" s="18"/>
      <c r="E803" s="5"/>
      <c r="F803" s="19"/>
      <c r="G803" s="20" t="str">
        <f t="shared" si="24"/>
        <v/>
      </c>
      <c r="H803" s="18"/>
      <c r="I803" s="5"/>
      <c r="J803" s="21" t="str">
        <f t="shared" si="25"/>
        <v/>
      </c>
      <c r="K803" s="17" t="str">
        <f>IF(I803="","",MATCH($I803,Settings!$F$5:$F$46,0))</f>
        <v/>
      </c>
      <c r="L803" s="18"/>
    </row>
    <row r="804" spans="2:12" x14ac:dyDescent="0.25">
      <c r="B804" s="16"/>
      <c r="C804" s="17" t="str">
        <f>IF(B804="","",IF(AND($B804&gt;=Settings!$C$10,$B804&lt;=Settings!$C$11),"OK","ERROR"))</f>
        <v/>
      </c>
      <c r="D804" s="18"/>
      <c r="E804" s="5"/>
      <c r="F804" s="19"/>
      <c r="G804" s="20" t="str">
        <f t="shared" si="24"/>
        <v/>
      </c>
      <c r="H804" s="18"/>
      <c r="I804" s="5"/>
      <c r="J804" s="21" t="str">
        <f t="shared" si="25"/>
        <v/>
      </c>
      <c r="K804" s="17" t="str">
        <f>IF(I804="","",MATCH($I804,Settings!$F$5:$F$46,0))</f>
        <v/>
      </c>
      <c r="L804" s="18"/>
    </row>
    <row r="805" spans="2:12" x14ac:dyDescent="0.25">
      <c r="B805" s="16"/>
      <c r="C805" s="17" t="str">
        <f>IF(B805="","",IF(AND($B805&gt;=Settings!$C$10,$B805&lt;=Settings!$C$11),"OK","ERROR"))</f>
        <v/>
      </c>
      <c r="D805" s="18"/>
      <c r="E805" s="5"/>
      <c r="F805" s="19"/>
      <c r="G805" s="20" t="str">
        <f t="shared" si="24"/>
        <v/>
      </c>
      <c r="H805" s="18"/>
      <c r="I805" s="5"/>
      <c r="J805" s="21" t="str">
        <f t="shared" si="25"/>
        <v/>
      </c>
      <c r="K805" s="17" t="str">
        <f>IF(I805="","",MATCH($I805,Settings!$F$5:$F$46,0))</f>
        <v/>
      </c>
      <c r="L805" s="18"/>
    </row>
    <row r="806" spans="2:12" x14ac:dyDescent="0.25">
      <c r="B806" s="16"/>
      <c r="C806" s="17" t="str">
        <f>IF(B806="","",IF(AND($B806&gt;=Settings!$C$10,$B806&lt;=Settings!$C$11),"OK","ERROR"))</f>
        <v/>
      </c>
      <c r="D806" s="18"/>
      <c r="E806" s="5"/>
      <c r="F806" s="19"/>
      <c r="G806" s="20" t="str">
        <f t="shared" si="24"/>
        <v/>
      </c>
      <c r="H806" s="18"/>
      <c r="I806" s="5"/>
      <c r="J806" s="21" t="str">
        <f t="shared" si="25"/>
        <v/>
      </c>
      <c r="K806" s="17" t="str">
        <f>IF(I806="","",MATCH($I806,Settings!$F$5:$F$46,0))</f>
        <v/>
      </c>
      <c r="L806" s="18"/>
    </row>
    <row r="807" spans="2:12" x14ac:dyDescent="0.25">
      <c r="B807" s="16"/>
      <c r="C807" s="17" t="str">
        <f>IF(B807="","",IF(AND($B807&gt;=Settings!$C$10,$B807&lt;=Settings!$C$11),"OK","ERROR"))</f>
        <v/>
      </c>
      <c r="D807" s="18"/>
      <c r="E807" s="5"/>
      <c r="F807" s="19"/>
      <c r="G807" s="20" t="str">
        <f t="shared" si="24"/>
        <v/>
      </c>
      <c r="H807" s="18"/>
      <c r="I807" s="5"/>
      <c r="J807" s="21" t="str">
        <f t="shared" si="25"/>
        <v/>
      </c>
      <c r="K807" s="17" t="str">
        <f>IF(I807="","",MATCH($I807,Settings!$F$5:$F$46,0))</f>
        <v/>
      </c>
      <c r="L807" s="18"/>
    </row>
    <row r="808" spans="2:12" x14ac:dyDescent="0.25">
      <c r="B808" s="16"/>
      <c r="C808" s="17" t="str">
        <f>IF(B808="","",IF(AND($B808&gt;=Settings!$C$10,$B808&lt;=Settings!$C$11),"OK","ERROR"))</f>
        <v/>
      </c>
      <c r="D808" s="18"/>
      <c r="E808" s="5"/>
      <c r="F808" s="19"/>
      <c r="G808" s="20" t="str">
        <f t="shared" si="24"/>
        <v/>
      </c>
      <c r="H808" s="18"/>
      <c r="I808" s="5"/>
      <c r="J808" s="21" t="str">
        <f t="shared" si="25"/>
        <v/>
      </c>
      <c r="K808" s="17" t="str">
        <f>IF(I808="","",MATCH($I808,Settings!$F$5:$F$46,0))</f>
        <v/>
      </c>
      <c r="L808" s="18"/>
    </row>
    <row r="809" spans="2:12" x14ac:dyDescent="0.25">
      <c r="B809" s="16"/>
      <c r="C809" s="17" t="str">
        <f>IF(B809="","",IF(AND($B809&gt;=Settings!$C$10,$B809&lt;=Settings!$C$11),"OK","ERROR"))</f>
        <v/>
      </c>
      <c r="D809" s="18"/>
      <c r="E809" s="5"/>
      <c r="F809" s="19"/>
      <c r="G809" s="20" t="str">
        <f t="shared" si="24"/>
        <v/>
      </c>
      <c r="H809" s="18"/>
      <c r="I809" s="5"/>
      <c r="J809" s="21" t="str">
        <f t="shared" si="25"/>
        <v/>
      </c>
      <c r="K809" s="17" t="str">
        <f>IF(I809="","",MATCH($I809,Settings!$F$5:$F$46,0))</f>
        <v/>
      </c>
      <c r="L809" s="18"/>
    </row>
    <row r="810" spans="2:12" x14ac:dyDescent="0.25">
      <c r="B810" s="16"/>
      <c r="C810" s="17" t="str">
        <f>IF(B810="","",IF(AND($B810&gt;=Settings!$C$10,$B810&lt;=Settings!$C$11),"OK","ERROR"))</f>
        <v/>
      </c>
      <c r="D810" s="18"/>
      <c r="E810" s="5"/>
      <c r="F810" s="19"/>
      <c r="G810" s="20" t="str">
        <f t="shared" si="24"/>
        <v/>
      </c>
      <c r="H810" s="18"/>
      <c r="I810" s="5"/>
      <c r="J810" s="21" t="str">
        <f t="shared" si="25"/>
        <v/>
      </c>
      <c r="K810" s="17" t="str">
        <f>IF(I810="","",MATCH($I810,Settings!$F$5:$F$46,0))</f>
        <v/>
      </c>
      <c r="L810" s="18"/>
    </row>
    <row r="811" spans="2:12" x14ac:dyDescent="0.25">
      <c r="B811" s="16"/>
      <c r="C811" s="17" t="str">
        <f>IF(B811="","",IF(AND($B811&gt;=Settings!$C$10,$B811&lt;=Settings!$C$11),"OK","ERROR"))</f>
        <v/>
      </c>
      <c r="D811" s="18"/>
      <c r="E811" s="5"/>
      <c r="F811" s="19"/>
      <c r="G811" s="20" t="str">
        <f t="shared" si="24"/>
        <v/>
      </c>
      <c r="H811" s="18"/>
      <c r="I811" s="5"/>
      <c r="J811" s="21" t="str">
        <f t="shared" si="25"/>
        <v/>
      </c>
      <c r="K811" s="17" t="str">
        <f>IF(I811="","",MATCH($I811,Settings!$F$5:$F$46,0))</f>
        <v/>
      </c>
      <c r="L811" s="18"/>
    </row>
    <row r="812" spans="2:12" x14ac:dyDescent="0.25">
      <c r="B812" s="16"/>
      <c r="C812" s="17" t="str">
        <f>IF(B812="","",IF(AND($B812&gt;=Settings!$C$10,$B812&lt;=Settings!$C$11),"OK","ERROR"))</f>
        <v/>
      </c>
      <c r="D812" s="18"/>
      <c r="E812" s="5"/>
      <c r="F812" s="19"/>
      <c r="G812" s="20" t="str">
        <f t="shared" si="24"/>
        <v/>
      </c>
      <c r="H812" s="18"/>
      <c r="I812" s="5"/>
      <c r="J812" s="21" t="str">
        <f t="shared" si="25"/>
        <v/>
      </c>
      <c r="K812" s="17" t="str">
        <f>IF(I812="","",MATCH($I812,Settings!$F$5:$F$46,0))</f>
        <v/>
      </c>
      <c r="L812" s="18"/>
    </row>
    <row r="813" spans="2:12" x14ac:dyDescent="0.25">
      <c r="B813" s="16"/>
      <c r="C813" s="17" t="str">
        <f>IF(B813="","",IF(AND($B813&gt;=Settings!$C$10,$B813&lt;=Settings!$C$11),"OK","ERROR"))</f>
        <v/>
      </c>
      <c r="D813" s="18"/>
      <c r="E813" s="5"/>
      <c r="F813" s="19"/>
      <c r="G813" s="20" t="str">
        <f t="shared" si="24"/>
        <v/>
      </c>
      <c r="H813" s="18"/>
      <c r="I813" s="5"/>
      <c r="J813" s="21" t="str">
        <f t="shared" si="25"/>
        <v/>
      </c>
      <c r="K813" s="17" t="str">
        <f>IF(I813="","",MATCH($I813,Settings!$F$5:$F$46,0))</f>
        <v/>
      </c>
      <c r="L813" s="18"/>
    </row>
    <row r="814" spans="2:12" x14ac:dyDescent="0.25">
      <c r="B814" s="16"/>
      <c r="C814" s="17" t="str">
        <f>IF(B814="","",IF(AND($B814&gt;=Settings!$C$10,$B814&lt;=Settings!$C$11),"OK","ERROR"))</f>
        <v/>
      </c>
      <c r="D814" s="18"/>
      <c r="E814" s="5"/>
      <c r="F814" s="19"/>
      <c r="G814" s="20" t="str">
        <f t="shared" si="24"/>
        <v/>
      </c>
      <c r="H814" s="18"/>
      <c r="I814" s="5"/>
      <c r="J814" s="21" t="str">
        <f t="shared" si="25"/>
        <v/>
      </c>
      <c r="K814" s="17" t="str">
        <f>IF(I814="","",MATCH($I814,Settings!$F$5:$F$46,0))</f>
        <v/>
      </c>
      <c r="L814" s="18"/>
    </row>
    <row r="815" spans="2:12" x14ac:dyDescent="0.25">
      <c r="B815" s="16"/>
      <c r="C815" s="17" t="str">
        <f>IF(B815="","",IF(AND($B815&gt;=Settings!$C$10,$B815&lt;=Settings!$C$11),"OK","ERROR"))</f>
        <v/>
      </c>
      <c r="D815" s="18"/>
      <c r="E815" s="5"/>
      <c r="F815" s="19"/>
      <c r="G815" s="20" t="str">
        <f t="shared" si="24"/>
        <v/>
      </c>
      <c r="H815" s="18"/>
      <c r="I815" s="5"/>
      <c r="J815" s="21" t="str">
        <f t="shared" si="25"/>
        <v/>
      </c>
      <c r="K815" s="17" t="str">
        <f>IF(I815="","",MATCH($I815,Settings!$F$5:$F$46,0))</f>
        <v/>
      </c>
      <c r="L815" s="18"/>
    </row>
    <row r="816" spans="2:12" x14ac:dyDescent="0.25">
      <c r="B816" s="16"/>
      <c r="C816" s="17" t="str">
        <f>IF(B816="","",IF(AND($B816&gt;=Settings!$C$10,$B816&lt;=Settings!$C$11),"OK","ERROR"))</f>
        <v/>
      </c>
      <c r="D816" s="18"/>
      <c r="E816" s="5"/>
      <c r="F816" s="19"/>
      <c r="G816" s="20" t="str">
        <f t="shared" si="24"/>
        <v/>
      </c>
      <c r="H816" s="18"/>
      <c r="I816" s="5"/>
      <c r="J816" s="21" t="str">
        <f t="shared" si="25"/>
        <v/>
      </c>
      <c r="K816" s="17" t="str">
        <f>IF(I816="","",MATCH($I816,Settings!$F$5:$F$46,0))</f>
        <v/>
      </c>
      <c r="L816" s="18"/>
    </row>
    <row r="817" spans="2:12" x14ac:dyDescent="0.25">
      <c r="B817" s="16"/>
      <c r="C817" s="17" t="str">
        <f>IF(B817="","",IF(AND($B817&gt;=Settings!$C$10,$B817&lt;=Settings!$C$11),"OK","ERROR"))</f>
        <v/>
      </c>
      <c r="D817" s="18"/>
      <c r="E817" s="5"/>
      <c r="F817" s="19"/>
      <c r="G817" s="20" t="str">
        <f t="shared" si="24"/>
        <v/>
      </c>
      <c r="H817" s="18"/>
      <c r="I817" s="5"/>
      <c r="J817" s="21" t="str">
        <f t="shared" si="25"/>
        <v/>
      </c>
      <c r="K817" s="17" t="str">
        <f>IF(I817="","",MATCH($I817,Settings!$F$5:$F$46,0))</f>
        <v/>
      </c>
      <c r="L817" s="18"/>
    </row>
    <row r="818" spans="2:12" x14ac:dyDescent="0.25">
      <c r="B818" s="16"/>
      <c r="C818" s="17" t="str">
        <f>IF(B818="","",IF(AND($B818&gt;=Settings!$C$10,$B818&lt;=Settings!$C$11),"OK","ERROR"))</f>
        <v/>
      </c>
      <c r="D818" s="18"/>
      <c r="E818" s="5"/>
      <c r="F818" s="19"/>
      <c r="G818" s="20" t="str">
        <f t="shared" si="24"/>
        <v/>
      </c>
      <c r="H818" s="18"/>
      <c r="I818" s="5"/>
      <c r="J818" s="21" t="str">
        <f t="shared" si="25"/>
        <v/>
      </c>
      <c r="K818" s="17" t="str">
        <f>IF(I818="","",MATCH($I818,Settings!$F$5:$F$46,0))</f>
        <v/>
      </c>
      <c r="L818" s="18"/>
    </row>
    <row r="819" spans="2:12" x14ac:dyDescent="0.25">
      <c r="B819" s="16"/>
      <c r="C819" s="17" t="str">
        <f>IF(B819="","",IF(AND($B819&gt;=Settings!$C$10,$B819&lt;=Settings!$C$11),"OK","ERROR"))</f>
        <v/>
      </c>
      <c r="D819" s="18"/>
      <c r="E819" s="5"/>
      <c r="F819" s="19"/>
      <c r="G819" s="20" t="str">
        <f t="shared" si="24"/>
        <v/>
      </c>
      <c r="H819" s="18"/>
      <c r="I819" s="5"/>
      <c r="J819" s="21" t="str">
        <f t="shared" si="25"/>
        <v/>
      </c>
      <c r="K819" s="17" t="str">
        <f>IF(I819="","",MATCH($I819,Settings!$F$5:$F$46,0))</f>
        <v/>
      </c>
      <c r="L819" s="18"/>
    </row>
    <row r="820" spans="2:12" x14ac:dyDescent="0.25">
      <c r="B820" s="16"/>
      <c r="C820" s="17" t="str">
        <f>IF(B820="","",IF(AND($B820&gt;=Settings!$C$10,$B820&lt;=Settings!$C$11),"OK","ERROR"))</f>
        <v/>
      </c>
      <c r="D820" s="18"/>
      <c r="E820" s="5"/>
      <c r="F820" s="19"/>
      <c r="G820" s="20" t="str">
        <f t="shared" si="24"/>
        <v/>
      </c>
      <c r="H820" s="18"/>
      <c r="I820" s="5"/>
      <c r="J820" s="21" t="str">
        <f t="shared" si="25"/>
        <v/>
      </c>
      <c r="K820" s="17" t="str">
        <f>IF(I820="","",MATCH($I820,Settings!$F$5:$F$46,0))</f>
        <v/>
      </c>
      <c r="L820" s="18"/>
    </row>
    <row r="821" spans="2:12" x14ac:dyDescent="0.25">
      <c r="B821" s="16"/>
      <c r="C821" s="17" t="str">
        <f>IF(B821="","",IF(AND($B821&gt;=Settings!$C$10,$B821&lt;=Settings!$C$11),"OK","ERROR"))</f>
        <v/>
      </c>
      <c r="D821" s="18"/>
      <c r="E821" s="5"/>
      <c r="F821" s="19"/>
      <c r="G821" s="20" t="str">
        <f t="shared" si="24"/>
        <v/>
      </c>
      <c r="H821" s="18"/>
      <c r="I821" s="5"/>
      <c r="J821" s="21" t="str">
        <f t="shared" si="25"/>
        <v/>
      </c>
      <c r="K821" s="17" t="str">
        <f>IF(I821="","",MATCH($I821,Settings!$F$5:$F$46,0))</f>
        <v/>
      </c>
      <c r="L821" s="18"/>
    </row>
    <row r="822" spans="2:12" x14ac:dyDescent="0.25">
      <c r="B822" s="16"/>
      <c r="C822" s="17" t="str">
        <f>IF(B822="","",IF(AND($B822&gt;=Settings!$C$10,$B822&lt;=Settings!$C$11),"OK","ERROR"))</f>
        <v/>
      </c>
      <c r="D822" s="18"/>
      <c r="E822" s="5"/>
      <c r="F822" s="19"/>
      <c r="G822" s="20" t="str">
        <f t="shared" si="24"/>
        <v/>
      </c>
      <c r="H822" s="18"/>
      <c r="I822" s="5"/>
      <c r="J822" s="21" t="str">
        <f t="shared" si="25"/>
        <v/>
      </c>
      <c r="K822" s="17" t="str">
        <f>IF(I822="","",MATCH($I822,Settings!$F$5:$F$46,0))</f>
        <v/>
      </c>
      <c r="L822" s="18"/>
    </row>
    <row r="823" spans="2:12" x14ac:dyDescent="0.25">
      <c r="B823" s="16"/>
      <c r="C823" s="17" t="str">
        <f>IF(B823="","",IF(AND($B823&gt;=Settings!$C$10,$B823&lt;=Settings!$C$11),"OK","ERROR"))</f>
        <v/>
      </c>
      <c r="D823" s="18"/>
      <c r="E823" s="5"/>
      <c r="F823" s="19"/>
      <c r="G823" s="20" t="str">
        <f t="shared" si="24"/>
        <v/>
      </c>
      <c r="H823" s="18"/>
      <c r="I823" s="5"/>
      <c r="J823" s="21" t="str">
        <f t="shared" si="25"/>
        <v/>
      </c>
      <c r="K823" s="17" t="str">
        <f>IF(I823="","",MATCH($I823,Settings!$F$5:$F$46,0))</f>
        <v/>
      </c>
      <c r="L823" s="18"/>
    </row>
    <row r="824" spans="2:12" x14ac:dyDescent="0.25">
      <c r="B824" s="16"/>
      <c r="C824" s="17" t="str">
        <f>IF(B824="","",IF(AND($B824&gt;=Settings!$C$10,$B824&lt;=Settings!$C$11),"OK","ERROR"))</f>
        <v/>
      </c>
      <c r="D824" s="18"/>
      <c r="E824" s="5"/>
      <c r="F824" s="19"/>
      <c r="G824" s="20" t="str">
        <f t="shared" si="24"/>
        <v/>
      </c>
      <c r="H824" s="18"/>
      <c r="I824" s="5"/>
      <c r="J824" s="21" t="str">
        <f t="shared" si="25"/>
        <v/>
      </c>
      <c r="K824" s="17" t="str">
        <f>IF(I824="","",MATCH($I824,Settings!$F$5:$F$46,0))</f>
        <v/>
      </c>
      <c r="L824" s="18"/>
    </row>
    <row r="825" spans="2:12" x14ac:dyDescent="0.25">
      <c r="B825" s="16"/>
      <c r="C825" s="17" t="str">
        <f>IF(B825="","",IF(AND($B825&gt;=Settings!$C$10,$B825&lt;=Settings!$C$11),"OK","ERROR"))</f>
        <v/>
      </c>
      <c r="D825" s="18"/>
      <c r="E825" s="5"/>
      <c r="F825" s="19"/>
      <c r="G825" s="20" t="str">
        <f t="shared" si="24"/>
        <v/>
      </c>
      <c r="H825" s="18"/>
      <c r="I825" s="5"/>
      <c r="J825" s="21" t="str">
        <f t="shared" si="25"/>
        <v/>
      </c>
      <c r="K825" s="17" t="str">
        <f>IF(I825="","",MATCH($I825,Settings!$F$5:$F$46,0))</f>
        <v/>
      </c>
      <c r="L825" s="18"/>
    </row>
    <row r="826" spans="2:12" x14ac:dyDescent="0.25">
      <c r="B826" s="16"/>
      <c r="C826" s="17" t="str">
        <f>IF(B826="","",IF(AND($B826&gt;=Settings!$C$10,$B826&lt;=Settings!$C$11),"OK","ERROR"))</f>
        <v/>
      </c>
      <c r="D826" s="18"/>
      <c r="E826" s="5"/>
      <c r="F826" s="19"/>
      <c r="G826" s="20" t="str">
        <f t="shared" si="24"/>
        <v/>
      </c>
      <c r="H826" s="18"/>
      <c r="I826" s="5"/>
      <c r="J826" s="21" t="str">
        <f t="shared" si="25"/>
        <v/>
      </c>
      <c r="K826" s="17" t="str">
        <f>IF(I826="","",MATCH($I826,Settings!$F$5:$F$46,0))</f>
        <v/>
      </c>
      <c r="L826" s="18"/>
    </row>
    <row r="827" spans="2:12" x14ac:dyDescent="0.25">
      <c r="B827" s="16"/>
      <c r="C827" s="17" t="str">
        <f>IF(B827="","",IF(AND($B827&gt;=Settings!$C$10,$B827&lt;=Settings!$C$11),"OK","ERROR"))</f>
        <v/>
      </c>
      <c r="D827" s="18"/>
      <c r="E827" s="5"/>
      <c r="F827" s="19"/>
      <c r="G827" s="20" t="str">
        <f t="shared" si="24"/>
        <v/>
      </c>
      <c r="H827" s="18"/>
      <c r="I827" s="5"/>
      <c r="J827" s="21" t="str">
        <f t="shared" si="25"/>
        <v/>
      </c>
      <c r="K827" s="17" t="str">
        <f>IF(I827="","",MATCH($I827,Settings!$F$5:$F$46,0))</f>
        <v/>
      </c>
      <c r="L827" s="18"/>
    </row>
    <row r="828" spans="2:12" x14ac:dyDescent="0.25">
      <c r="B828" s="16"/>
      <c r="C828" s="17" t="str">
        <f>IF(B828="","",IF(AND($B828&gt;=Settings!$C$10,$B828&lt;=Settings!$C$11),"OK","ERROR"))</f>
        <v/>
      </c>
      <c r="D828" s="18"/>
      <c r="E828" s="5"/>
      <c r="F828" s="19"/>
      <c r="G828" s="20" t="str">
        <f t="shared" si="24"/>
        <v/>
      </c>
      <c r="H828" s="18"/>
      <c r="I828" s="5"/>
      <c r="J828" s="21" t="str">
        <f t="shared" si="25"/>
        <v/>
      </c>
      <c r="K828" s="17" t="str">
        <f>IF(I828="","",MATCH($I828,Settings!$F$5:$F$46,0))</f>
        <v/>
      </c>
      <c r="L828" s="18"/>
    </row>
    <row r="829" spans="2:12" x14ac:dyDescent="0.25">
      <c r="B829" s="16"/>
      <c r="C829" s="17" t="str">
        <f>IF(B829="","",IF(AND($B829&gt;=Settings!$C$10,$B829&lt;=Settings!$C$11),"OK","ERROR"))</f>
        <v/>
      </c>
      <c r="D829" s="18"/>
      <c r="E829" s="5"/>
      <c r="F829" s="19"/>
      <c r="G829" s="20" t="str">
        <f t="shared" si="24"/>
        <v/>
      </c>
      <c r="H829" s="18"/>
      <c r="I829" s="5"/>
      <c r="J829" s="21" t="str">
        <f t="shared" si="25"/>
        <v/>
      </c>
      <c r="K829" s="17" t="str">
        <f>IF(I829="","",MATCH($I829,Settings!$F$5:$F$46,0))</f>
        <v/>
      </c>
      <c r="L829" s="18"/>
    </row>
    <row r="830" spans="2:12" x14ac:dyDescent="0.25">
      <c r="B830" s="16"/>
      <c r="C830" s="17" t="str">
        <f>IF(B830="","",IF(AND($B830&gt;=Settings!$C$10,$B830&lt;=Settings!$C$11),"OK","ERROR"))</f>
        <v/>
      </c>
      <c r="D830" s="18"/>
      <c r="E830" s="5"/>
      <c r="F830" s="19"/>
      <c r="G830" s="20" t="str">
        <f t="shared" si="24"/>
        <v/>
      </c>
      <c r="H830" s="18"/>
      <c r="I830" s="5"/>
      <c r="J830" s="21" t="str">
        <f t="shared" si="25"/>
        <v/>
      </c>
      <c r="K830" s="17" t="str">
        <f>IF(I830="","",MATCH($I830,Settings!$F$5:$F$46,0))</f>
        <v/>
      </c>
      <c r="L830" s="18"/>
    </row>
    <row r="831" spans="2:12" x14ac:dyDescent="0.25">
      <c r="B831" s="16"/>
      <c r="C831" s="17" t="str">
        <f>IF(B831="","",IF(AND($B831&gt;=Settings!$C$10,$B831&lt;=Settings!$C$11),"OK","ERROR"))</f>
        <v/>
      </c>
      <c r="D831" s="18"/>
      <c r="E831" s="5"/>
      <c r="F831" s="19"/>
      <c r="G831" s="20" t="str">
        <f t="shared" si="24"/>
        <v/>
      </c>
      <c r="H831" s="18"/>
      <c r="I831" s="5"/>
      <c r="J831" s="21" t="str">
        <f t="shared" si="25"/>
        <v/>
      </c>
      <c r="K831" s="17" t="str">
        <f>IF(I831="","",MATCH($I831,Settings!$F$5:$F$46,0))</f>
        <v/>
      </c>
      <c r="L831" s="18"/>
    </row>
    <row r="832" spans="2:12" x14ac:dyDescent="0.25">
      <c r="B832" s="16"/>
      <c r="C832" s="17" t="str">
        <f>IF(B832="","",IF(AND($B832&gt;=Settings!$C$10,$B832&lt;=Settings!$C$11),"OK","ERROR"))</f>
        <v/>
      </c>
      <c r="D832" s="18"/>
      <c r="E832" s="5"/>
      <c r="F832" s="19"/>
      <c r="G832" s="20" t="str">
        <f t="shared" si="24"/>
        <v/>
      </c>
      <c r="H832" s="18"/>
      <c r="I832" s="5"/>
      <c r="J832" s="21" t="str">
        <f t="shared" si="25"/>
        <v/>
      </c>
      <c r="K832" s="17" t="str">
        <f>IF(I832="","",MATCH($I832,Settings!$F$5:$F$46,0))</f>
        <v/>
      </c>
      <c r="L832" s="18"/>
    </row>
    <row r="833" spans="2:12" x14ac:dyDescent="0.25">
      <c r="B833" s="16"/>
      <c r="C833" s="17" t="str">
        <f>IF(B833="","",IF(AND($B833&gt;=Settings!$C$10,$B833&lt;=Settings!$C$11),"OK","ERROR"))</f>
        <v/>
      </c>
      <c r="D833" s="18"/>
      <c r="E833" s="5"/>
      <c r="F833" s="19"/>
      <c r="G833" s="20" t="str">
        <f t="shared" si="24"/>
        <v/>
      </c>
      <c r="H833" s="18"/>
      <c r="I833" s="5"/>
      <c r="J833" s="21" t="str">
        <f t="shared" si="25"/>
        <v/>
      </c>
      <c r="K833" s="17" t="str">
        <f>IF(I833="","",MATCH($I833,Settings!$F$5:$F$46,0))</f>
        <v/>
      </c>
      <c r="L833" s="18"/>
    </row>
    <row r="834" spans="2:12" x14ac:dyDescent="0.25">
      <c r="B834" s="16"/>
      <c r="C834" s="17" t="str">
        <f>IF(B834="","",IF(AND($B834&gt;=Settings!$C$10,$B834&lt;=Settings!$C$11),"OK","ERROR"))</f>
        <v/>
      </c>
      <c r="D834" s="18"/>
      <c r="E834" s="5"/>
      <c r="F834" s="19"/>
      <c r="G834" s="20" t="str">
        <f t="shared" si="24"/>
        <v/>
      </c>
      <c r="H834" s="18"/>
      <c r="I834" s="5"/>
      <c r="J834" s="21" t="str">
        <f t="shared" si="25"/>
        <v/>
      </c>
      <c r="K834" s="17" t="str">
        <f>IF(I834="","",MATCH($I834,Settings!$F$5:$F$46,0))</f>
        <v/>
      </c>
      <c r="L834" s="18"/>
    </row>
    <row r="835" spans="2:12" x14ac:dyDescent="0.25">
      <c r="B835" s="16"/>
      <c r="C835" s="17" t="str">
        <f>IF(B835="","",IF(AND($B835&gt;=Settings!$C$10,$B835&lt;=Settings!$C$11),"OK","ERROR"))</f>
        <v/>
      </c>
      <c r="D835" s="18"/>
      <c r="E835" s="5"/>
      <c r="F835" s="19"/>
      <c r="G835" s="20" t="str">
        <f t="shared" si="24"/>
        <v/>
      </c>
      <c r="H835" s="18"/>
      <c r="I835" s="5"/>
      <c r="J835" s="21" t="str">
        <f t="shared" si="25"/>
        <v/>
      </c>
      <c r="K835" s="17" t="str">
        <f>IF(I835="","",MATCH($I835,Settings!$F$5:$F$46,0))</f>
        <v/>
      </c>
      <c r="L835" s="18"/>
    </row>
    <row r="836" spans="2:12" x14ac:dyDescent="0.25">
      <c r="B836" s="16"/>
      <c r="C836" s="17" t="str">
        <f>IF(B836="","",IF(AND($B836&gt;=Settings!$C$10,$B836&lt;=Settings!$C$11),"OK","ERROR"))</f>
        <v/>
      </c>
      <c r="D836" s="18"/>
      <c r="E836" s="5"/>
      <c r="F836" s="19"/>
      <c r="G836" s="20" t="str">
        <f t="shared" si="24"/>
        <v/>
      </c>
      <c r="H836" s="18"/>
      <c r="I836" s="5"/>
      <c r="J836" s="21" t="str">
        <f t="shared" si="25"/>
        <v/>
      </c>
      <c r="K836" s="17" t="str">
        <f>IF(I836="","",MATCH($I836,Settings!$F$5:$F$46,0))</f>
        <v/>
      </c>
      <c r="L836" s="18"/>
    </row>
    <row r="837" spans="2:12" x14ac:dyDescent="0.25">
      <c r="B837" s="16"/>
      <c r="C837" s="17" t="str">
        <f>IF(B837="","",IF(AND($B837&gt;=Settings!$C$10,$B837&lt;=Settings!$C$11),"OK","ERROR"))</f>
        <v/>
      </c>
      <c r="D837" s="18"/>
      <c r="E837" s="5"/>
      <c r="F837" s="19"/>
      <c r="G837" s="20" t="str">
        <f t="shared" si="24"/>
        <v/>
      </c>
      <c r="H837" s="18"/>
      <c r="I837" s="5"/>
      <c r="J837" s="21" t="str">
        <f t="shared" si="25"/>
        <v/>
      </c>
      <c r="K837" s="17" t="str">
        <f>IF(I837="","",MATCH($I837,Settings!$F$5:$F$46,0))</f>
        <v/>
      </c>
      <c r="L837" s="18"/>
    </row>
    <row r="838" spans="2:12" x14ac:dyDescent="0.25">
      <c r="B838" s="16"/>
      <c r="C838" s="17" t="str">
        <f>IF(B838="","",IF(AND($B838&gt;=Settings!$C$10,$B838&lt;=Settings!$C$11),"OK","ERROR"))</f>
        <v/>
      </c>
      <c r="D838" s="18"/>
      <c r="E838" s="5"/>
      <c r="F838" s="19"/>
      <c r="G838" s="20" t="str">
        <f t="shared" ref="G838:G901" si="26">IF(F838="","",IF(I838&lt;&gt;"","OK","ERROR"))</f>
        <v/>
      </c>
      <c r="H838" s="18"/>
      <c r="I838" s="5"/>
      <c r="J838" s="21" t="str">
        <f t="shared" si="25"/>
        <v/>
      </c>
      <c r="K838" s="17" t="str">
        <f>IF(I838="","",MATCH($I838,Settings!$F$5:$F$46,0))</f>
        <v/>
      </c>
      <c r="L838" s="18"/>
    </row>
    <row r="839" spans="2:12" x14ac:dyDescent="0.25">
      <c r="B839" s="16"/>
      <c r="C839" s="17" t="str">
        <f>IF(B839="","",IF(AND($B839&gt;=Settings!$C$10,$B839&lt;=Settings!$C$11),"OK","ERROR"))</f>
        <v/>
      </c>
      <c r="D839" s="18"/>
      <c r="E839" s="5"/>
      <c r="F839" s="19"/>
      <c r="G839" s="20" t="str">
        <f t="shared" si="26"/>
        <v/>
      </c>
      <c r="H839" s="18"/>
      <c r="I839" s="5"/>
      <c r="J839" s="21" t="str">
        <f t="shared" ref="J839:J902" si="27">IF(I839="","",IF(ISERROR($K839)=TRUE,"ERROR","OK"))</f>
        <v/>
      </c>
      <c r="K839" s="17" t="str">
        <f>IF(I839="","",MATCH($I839,Settings!$F$5:$F$46,0))</f>
        <v/>
      </c>
      <c r="L839" s="18"/>
    </row>
    <row r="840" spans="2:12" x14ac:dyDescent="0.25">
      <c r="B840" s="16"/>
      <c r="C840" s="17" t="str">
        <f>IF(B840="","",IF(AND($B840&gt;=Settings!$C$10,$B840&lt;=Settings!$C$11),"OK","ERROR"))</f>
        <v/>
      </c>
      <c r="D840" s="18"/>
      <c r="E840" s="5"/>
      <c r="F840" s="19"/>
      <c r="G840" s="20" t="str">
        <f t="shared" si="26"/>
        <v/>
      </c>
      <c r="H840" s="18"/>
      <c r="I840" s="5"/>
      <c r="J840" s="21" t="str">
        <f t="shared" si="27"/>
        <v/>
      </c>
      <c r="K840" s="17" t="str">
        <f>IF(I840="","",MATCH($I840,Settings!$F$5:$F$46,0))</f>
        <v/>
      </c>
      <c r="L840" s="18"/>
    </row>
    <row r="841" spans="2:12" x14ac:dyDescent="0.25">
      <c r="B841" s="16"/>
      <c r="C841" s="17" t="str">
        <f>IF(B841="","",IF(AND($B841&gt;=Settings!$C$10,$B841&lt;=Settings!$C$11),"OK","ERROR"))</f>
        <v/>
      </c>
      <c r="D841" s="18"/>
      <c r="E841" s="5"/>
      <c r="F841" s="19"/>
      <c r="G841" s="20" t="str">
        <f t="shared" si="26"/>
        <v/>
      </c>
      <c r="H841" s="18"/>
      <c r="I841" s="5"/>
      <c r="J841" s="21" t="str">
        <f t="shared" si="27"/>
        <v/>
      </c>
      <c r="K841" s="17" t="str">
        <f>IF(I841="","",MATCH($I841,Settings!$F$5:$F$46,0))</f>
        <v/>
      </c>
      <c r="L841" s="18"/>
    </row>
    <row r="842" spans="2:12" x14ac:dyDescent="0.25">
      <c r="B842" s="16"/>
      <c r="C842" s="17" t="str">
        <f>IF(B842="","",IF(AND($B842&gt;=Settings!$C$10,$B842&lt;=Settings!$C$11),"OK","ERROR"))</f>
        <v/>
      </c>
      <c r="D842" s="18"/>
      <c r="E842" s="5"/>
      <c r="F842" s="19"/>
      <c r="G842" s="20" t="str">
        <f t="shared" si="26"/>
        <v/>
      </c>
      <c r="H842" s="18"/>
      <c r="I842" s="5"/>
      <c r="J842" s="21" t="str">
        <f t="shared" si="27"/>
        <v/>
      </c>
      <c r="K842" s="17" t="str">
        <f>IF(I842="","",MATCH($I842,Settings!$F$5:$F$46,0))</f>
        <v/>
      </c>
      <c r="L842" s="18"/>
    </row>
    <row r="843" spans="2:12" x14ac:dyDescent="0.25">
      <c r="B843" s="16"/>
      <c r="C843" s="17" t="str">
        <f>IF(B843="","",IF(AND($B843&gt;=Settings!$C$10,$B843&lt;=Settings!$C$11),"OK","ERROR"))</f>
        <v/>
      </c>
      <c r="D843" s="18"/>
      <c r="E843" s="5"/>
      <c r="F843" s="19"/>
      <c r="G843" s="20" t="str">
        <f t="shared" si="26"/>
        <v/>
      </c>
      <c r="H843" s="18"/>
      <c r="I843" s="5"/>
      <c r="J843" s="21" t="str">
        <f t="shared" si="27"/>
        <v/>
      </c>
      <c r="K843" s="17" t="str">
        <f>IF(I843="","",MATCH($I843,Settings!$F$5:$F$46,0))</f>
        <v/>
      </c>
      <c r="L843" s="18"/>
    </row>
    <row r="844" spans="2:12" x14ac:dyDescent="0.25">
      <c r="B844" s="16"/>
      <c r="C844" s="17" t="str">
        <f>IF(B844="","",IF(AND($B844&gt;=Settings!$C$10,$B844&lt;=Settings!$C$11),"OK","ERROR"))</f>
        <v/>
      </c>
      <c r="D844" s="18"/>
      <c r="E844" s="5"/>
      <c r="F844" s="19"/>
      <c r="G844" s="20" t="str">
        <f t="shared" si="26"/>
        <v/>
      </c>
      <c r="H844" s="18"/>
      <c r="I844" s="5"/>
      <c r="J844" s="21" t="str">
        <f t="shared" si="27"/>
        <v/>
      </c>
      <c r="K844" s="17" t="str">
        <f>IF(I844="","",MATCH($I844,Settings!$F$5:$F$46,0))</f>
        <v/>
      </c>
      <c r="L844" s="18"/>
    </row>
    <row r="845" spans="2:12" x14ac:dyDescent="0.25">
      <c r="B845" s="16"/>
      <c r="C845" s="17" t="str">
        <f>IF(B845="","",IF(AND($B845&gt;=Settings!$C$10,$B845&lt;=Settings!$C$11),"OK","ERROR"))</f>
        <v/>
      </c>
      <c r="D845" s="18"/>
      <c r="E845" s="5"/>
      <c r="F845" s="19"/>
      <c r="G845" s="20" t="str">
        <f t="shared" si="26"/>
        <v/>
      </c>
      <c r="H845" s="18"/>
      <c r="I845" s="5"/>
      <c r="J845" s="21" t="str">
        <f t="shared" si="27"/>
        <v/>
      </c>
      <c r="K845" s="17" t="str">
        <f>IF(I845="","",MATCH($I845,Settings!$F$5:$F$46,0))</f>
        <v/>
      </c>
      <c r="L845" s="18"/>
    </row>
    <row r="846" spans="2:12" x14ac:dyDescent="0.25">
      <c r="B846" s="16"/>
      <c r="C846" s="17" t="str">
        <f>IF(B846="","",IF(AND($B846&gt;=Settings!$C$10,$B846&lt;=Settings!$C$11),"OK","ERROR"))</f>
        <v/>
      </c>
      <c r="D846" s="18"/>
      <c r="E846" s="5"/>
      <c r="F846" s="19"/>
      <c r="G846" s="20" t="str">
        <f t="shared" si="26"/>
        <v/>
      </c>
      <c r="H846" s="18"/>
      <c r="I846" s="5"/>
      <c r="J846" s="21" t="str">
        <f t="shared" si="27"/>
        <v/>
      </c>
      <c r="K846" s="17" t="str">
        <f>IF(I846="","",MATCH($I846,Settings!$F$5:$F$46,0))</f>
        <v/>
      </c>
      <c r="L846" s="18"/>
    </row>
    <row r="847" spans="2:12" x14ac:dyDescent="0.25">
      <c r="B847" s="16"/>
      <c r="C847" s="17" t="str">
        <f>IF(B847="","",IF(AND($B847&gt;=Settings!$C$10,$B847&lt;=Settings!$C$11),"OK","ERROR"))</f>
        <v/>
      </c>
      <c r="D847" s="18"/>
      <c r="E847" s="5"/>
      <c r="F847" s="19"/>
      <c r="G847" s="20" t="str">
        <f t="shared" si="26"/>
        <v/>
      </c>
      <c r="H847" s="18"/>
      <c r="I847" s="5"/>
      <c r="J847" s="21" t="str">
        <f t="shared" si="27"/>
        <v/>
      </c>
      <c r="K847" s="17" t="str">
        <f>IF(I847="","",MATCH($I847,Settings!$F$5:$F$46,0))</f>
        <v/>
      </c>
      <c r="L847" s="18"/>
    </row>
    <row r="848" spans="2:12" x14ac:dyDescent="0.25">
      <c r="B848" s="16"/>
      <c r="C848" s="17" t="str">
        <f>IF(B848="","",IF(AND($B848&gt;=Settings!$C$10,$B848&lt;=Settings!$C$11),"OK","ERROR"))</f>
        <v/>
      </c>
      <c r="D848" s="18"/>
      <c r="E848" s="5"/>
      <c r="F848" s="19"/>
      <c r="G848" s="20" t="str">
        <f t="shared" si="26"/>
        <v/>
      </c>
      <c r="H848" s="18"/>
      <c r="I848" s="5"/>
      <c r="J848" s="21" t="str">
        <f t="shared" si="27"/>
        <v/>
      </c>
      <c r="K848" s="17" t="str">
        <f>IF(I848="","",MATCH($I848,Settings!$F$5:$F$46,0))</f>
        <v/>
      </c>
      <c r="L848" s="18"/>
    </row>
    <row r="849" spans="2:12" x14ac:dyDescent="0.25">
      <c r="B849" s="16"/>
      <c r="C849" s="17" t="str">
        <f>IF(B849="","",IF(AND($B849&gt;=Settings!$C$10,$B849&lt;=Settings!$C$11),"OK","ERROR"))</f>
        <v/>
      </c>
      <c r="D849" s="18"/>
      <c r="E849" s="5"/>
      <c r="F849" s="19"/>
      <c r="G849" s="20" t="str">
        <f t="shared" si="26"/>
        <v/>
      </c>
      <c r="H849" s="18"/>
      <c r="I849" s="5"/>
      <c r="J849" s="21" t="str">
        <f t="shared" si="27"/>
        <v/>
      </c>
      <c r="K849" s="17" t="str">
        <f>IF(I849="","",MATCH($I849,Settings!$F$5:$F$46,0))</f>
        <v/>
      </c>
      <c r="L849" s="18"/>
    </row>
    <row r="850" spans="2:12" x14ac:dyDescent="0.25">
      <c r="B850" s="16"/>
      <c r="C850" s="17" t="str">
        <f>IF(B850="","",IF(AND($B850&gt;=Settings!$C$10,$B850&lt;=Settings!$C$11),"OK","ERROR"))</f>
        <v/>
      </c>
      <c r="D850" s="18"/>
      <c r="E850" s="5"/>
      <c r="F850" s="19"/>
      <c r="G850" s="20" t="str">
        <f t="shared" si="26"/>
        <v/>
      </c>
      <c r="H850" s="18"/>
      <c r="I850" s="5"/>
      <c r="J850" s="21" t="str">
        <f t="shared" si="27"/>
        <v/>
      </c>
      <c r="K850" s="17" t="str">
        <f>IF(I850="","",MATCH($I850,Settings!$F$5:$F$46,0))</f>
        <v/>
      </c>
      <c r="L850" s="18"/>
    </row>
    <row r="851" spans="2:12" x14ac:dyDescent="0.25">
      <c r="B851" s="16"/>
      <c r="C851" s="17" t="str">
        <f>IF(B851="","",IF(AND($B851&gt;=Settings!$C$10,$B851&lt;=Settings!$C$11),"OK","ERROR"))</f>
        <v/>
      </c>
      <c r="D851" s="18"/>
      <c r="E851" s="5"/>
      <c r="F851" s="19"/>
      <c r="G851" s="20" t="str">
        <f t="shared" si="26"/>
        <v/>
      </c>
      <c r="H851" s="18"/>
      <c r="I851" s="5"/>
      <c r="J851" s="21" t="str">
        <f t="shared" si="27"/>
        <v/>
      </c>
      <c r="K851" s="17" t="str">
        <f>IF(I851="","",MATCH($I851,Settings!$F$5:$F$46,0))</f>
        <v/>
      </c>
      <c r="L851" s="18"/>
    </row>
    <row r="852" spans="2:12" x14ac:dyDescent="0.25">
      <c r="B852" s="16"/>
      <c r="C852" s="17" t="str">
        <f>IF(B852="","",IF(AND($B852&gt;=Settings!$C$10,$B852&lt;=Settings!$C$11),"OK","ERROR"))</f>
        <v/>
      </c>
      <c r="D852" s="18"/>
      <c r="E852" s="5"/>
      <c r="F852" s="19"/>
      <c r="G852" s="20" t="str">
        <f t="shared" si="26"/>
        <v/>
      </c>
      <c r="H852" s="18"/>
      <c r="I852" s="5"/>
      <c r="J852" s="21" t="str">
        <f t="shared" si="27"/>
        <v/>
      </c>
      <c r="K852" s="17" t="str">
        <f>IF(I852="","",MATCH($I852,Settings!$F$5:$F$46,0))</f>
        <v/>
      </c>
      <c r="L852" s="18"/>
    </row>
    <row r="853" spans="2:12" x14ac:dyDescent="0.25">
      <c r="B853" s="16"/>
      <c r="C853" s="17" t="str">
        <f>IF(B853="","",IF(AND($B853&gt;=Settings!$C$10,$B853&lt;=Settings!$C$11),"OK","ERROR"))</f>
        <v/>
      </c>
      <c r="D853" s="18"/>
      <c r="E853" s="5"/>
      <c r="F853" s="19"/>
      <c r="G853" s="20" t="str">
        <f t="shared" si="26"/>
        <v/>
      </c>
      <c r="H853" s="18"/>
      <c r="I853" s="5"/>
      <c r="J853" s="21" t="str">
        <f t="shared" si="27"/>
        <v/>
      </c>
      <c r="K853" s="17" t="str">
        <f>IF(I853="","",MATCH($I853,Settings!$F$5:$F$46,0))</f>
        <v/>
      </c>
      <c r="L853" s="18"/>
    </row>
    <row r="854" spans="2:12" x14ac:dyDescent="0.25">
      <c r="B854" s="16"/>
      <c r="C854" s="17" t="str">
        <f>IF(B854="","",IF(AND($B854&gt;=Settings!$C$10,$B854&lt;=Settings!$C$11),"OK","ERROR"))</f>
        <v/>
      </c>
      <c r="D854" s="18"/>
      <c r="E854" s="5"/>
      <c r="F854" s="19"/>
      <c r="G854" s="20" t="str">
        <f t="shared" si="26"/>
        <v/>
      </c>
      <c r="H854" s="18"/>
      <c r="I854" s="5"/>
      <c r="J854" s="21" t="str">
        <f t="shared" si="27"/>
        <v/>
      </c>
      <c r="K854" s="17" t="str">
        <f>IF(I854="","",MATCH($I854,Settings!$F$5:$F$46,0))</f>
        <v/>
      </c>
      <c r="L854" s="18"/>
    </row>
    <row r="855" spans="2:12" x14ac:dyDescent="0.25">
      <c r="B855" s="16"/>
      <c r="C855" s="17" t="str">
        <f>IF(B855="","",IF(AND($B855&gt;=Settings!$C$10,$B855&lt;=Settings!$C$11),"OK","ERROR"))</f>
        <v/>
      </c>
      <c r="D855" s="18"/>
      <c r="E855" s="5"/>
      <c r="F855" s="19"/>
      <c r="G855" s="20" t="str">
        <f t="shared" si="26"/>
        <v/>
      </c>
      <c r="H855" s="18"/>
      <c r="I855" s="5"/>
      <c r="J855" s="21" t="str">
        <f t="shared" si="27"/>
        <v/>
      </c>
      <c r="K855" s="17" t="str">
        <f>IF(I855="","",MATCH($I855,Settings!$F$5:$F$46,0))</f>
        <v/>
      </c>
      <c r="L855" s="18"/>
    </row>
    <row r="856" spans="2:12" x14ac:dyDescent="0.25">
      <c r="B856" s="16"/>
      <c r="C856" s="17" t="str">
        <f>IF(B856="","",IF(AND($B856&gt;=Settings!$C$10,$B856&lt;=Settings!$C$11),"OK","ERROR"))</f>
        <v/>
      </c>
      <c r="D856" s="18"/>
      <c r="E856" s="5"/>
      <c r="F856" s="19"/>
      <c r="G856" s="20" t="str">
        <f t="shared" si="26"/>
        <v/>
      </c>
      <c r="H856" s="18"/>
      <c r="I856" s="5"/>
      <c r="J856" s="21" t="str">
        <f t="shared" si="27"/>
        <v/>
      </c>
      <c r="K856" s="17" t="str">
        <f>IF(I856="","",MATCH($I856,Settings!$F$5:$F$46,0))</f>
        <v/>
      </c>
      <c r="L856" s="18"/>
    </row>
    <row r="857" spans="2:12" x14ac:dyDescent="0.25">
      <c r="B857" s="16"/>
      <c r="C857" s="17" t="str">
        <f>IF(B857="","",IF(AND($B857&gt;=Settings!$C$10,$B857&lt;=Settings!$C$11),"OK","ERROR"))</f>
        <v/>
      </c>
      <c r="D857" s="18"/>
      <c r="E857" s="5"/>
      <c r="F857" s="19"/>
      <c r="G857" s="20" t="str">
        <f t="shared" si="26"/>
        <v/>
      </c>
      <c r="H857" s="18"/>
      <c r="I857" s="5"/>
      <c r="J857" s="21" t="str">
        <f t="shared" si="27"/>
        <v/>
      </c>
      <c r="K857" s="17" t="str">
        <f>IF(I857="","",MATCH($I857,Settings!$F$5:$F$46,0))</f>
        <v/>
      </c>
      <c r="L857" s="18"/>
    </row>
    <row r="858" spans="2:12" x14ac:dyDescent="0.25">
      <c r="B858" s="16"/>
      <c r="C858" s="17" t="str">
        <f>IF(B858="","",IF(AND($B858&gt;=Settings!$C$10,$B858&lt;=Settings!$C$11),"OK","ERROR"))</f>
        <v/>
      </c>
      <c r="D858" s="18"/>
      <c r="E858" s="5"/>
      <c r="F858" s="19"/>
      <c r="G858" s="20" t="str">
        <f t="shared" si="26"/>
        <v/>
      </c>
      <c r="H858" s="18"/>
      <c r="I858" s="5"/>
      <c r="J858" s="21" t="str">
        <f t="shared" si="27"/>
        <v/>
      </c>
      <c r="K858" s="17" t="str">
        <f>IF(I858="","",MATCH($I858,Settings!$F$5:$F$46,0))</f>
        <v/>
      </c>
      <c r="L858" s="18"/>
    </row>
    <row r="859" spans="2:12" x14ac:dyDescent="0.25">
      <c r="B859" s="16"/>
      <c r="C859" s="17" t="str">
        <f>IF(B859="","",IF(AND($B859&gt;=Settings!$C$10,$B859&lt;=Settings!$C$11),"OK","ERROR"))</f>
        <v/>
      </c>
      <c r="D859" s="18"/>
      <c r="E859" s="5"/>
      <c r="F859" s="19"/>
      <c r="G859" s="20" t="str">
        <f t="shared" si="26"/>
        <v/>
      </c>
      <c r="H859" s="18"/>
      <c r="I859" s="5"/>
      <c r="J859" s="21" t="str">
        <f t="shared" si="27"/>
        <v/>
      </c>
      <c r="K859" s="17" t="str">
        <f>IF(I859="","",MATCH($I859,Settings!$F$5:$F$46,0))</f>
        <v/>
      </c>
      <c r="L859" s="18"/>
    </row>
    <row r="860" spans="2:12" x14ac:dyDescent="0.25">
      <c r="B860" s="16"/>
      <c r="C860" s="17" t="str">
        <f>IF(B860="","",IF(AND($B860&gt;=Settings!$C$10,$B860&lt;=Settings!$C$11),"OK","ERROR"))</f>
        <v/>
      </c>
      <c r="D860" s="18"/>
      <c r="E860" s="5"/>
      <c r="F860" s="19"/>
      <c r="G860" s="20" t="str">
        <f t="shared" si="26"/>
        <v/>
      </c>
      <c r="H860" s="18"/>
      <c r="I860" s="5"/>
      <c r="J860" s="21" t="str">
        <f t="shared" si="27"/>
        <v/>
      </c>
      <c r="K860" s="17" t="str">
        <f>IF(I860="","",MATCH($I860,Settings!$F$5:$F$46,0))</f>
        <v/>
      </c>
      <c r="L860" s="18"/>
    </row>
    <row r="861" spans="2:12" x14ac:dyDescent="0.25">
      <c r="B861" s="16"/>
      <c r="C861" s="17" t="str">
        <f>IF(B861="","",IF(AND($B861&gt;=Settings!$C$10,$B861&lt;=Settings!$C$11),"OK","ERROR"))</f>
        <v/>
      </c>
      <c r="D861" s="18"/>
      <c r="E861" s="5"/>
      <c r="F861" s="19"/>
      <c r="G861" s="20" t="str">
        <f t="shared" si="26"/>
        <v/>
      </c>
      <c r="H861" s="18"/>
      <c r="I861" s="5"/>
      <c r="J861" s="21" t="str">
        <f t="shared" si="27"/>
        <v/>
      </c>
      <c r="K861" s="17" t="str">
        <f>IF(I861="","",MATCH($I861,Settings!$F$5:$F$46,0))</f>
        <v/>
      </c>
      <c r="L861" s="18"/>
    </row>
    <row r="862" spans="2:12" x14ac:dyDescent="0.25">
      <c r="B862" s="16"/>
      <c r="C862" s="17" t="str">
        <f>IF(B862="","",IF(AND($B862&gt;=Settings!$C$10,$B862&lt;=Settings!$C$11),"OK","ERROR"))</f>
        <v/>
      </c>
      <c r="D862" s="18"/>
      <c r="E862" s="5"/>
      <c r="F862" s="19"/>
      <c r="G862" s="20" t="str">
        <f t="shared" si="26"/>
        <v/>
      </c>
      <c r="H862" s="18"/>
      <c r="I862" s="5"/>
      <c r="J862" s="21" t="str">
        <f t="shared" si="27"/>
        <v/>
      </c>
      <c r="K862" s="17" t="str">
        <f>IF(I862="","",MATCH($I862,Settings!$F$5:$F$46,0))</f>
        <v/>
      </c>
      <c r="L862" s="18"/>
    </row>
    <row r="863" spans="2:12" x14ac:dyDescent="0.25">
      <c r="B863" s="16"/>
      <c r="C863" s="17" t="str">
        <f>IF(B863="","",IF(AND($B863&gt;=Settings!$C$10,$B863&lt;=Settings!$C$11),"OK","ERROR"))</f>
        <v/>
      </c>
      <c r="D863" s="18"/>
      <c r="E863" s="5"/>
      <c r="F863" s="19"/>
      <c r="G863" s="20" t="str">
        <f t="shared" si="26"/>
        <v/>
      </c>
      <c r="H863" s="18"/>
      <c r="I863" s="5"/>
      <c r="J863" s="21" t="str">
        <f t="shared" si="27"/>
        <v/>
      </c>
      <c r="K863" s="17" t="str">
        <f>IF(I863="","",MATCH($I863,Settings!$F$5:$F$46,0))</f>
        <v/>
      </c>
      <c r="L863" s="18"/>
    </row>
    <row r="864" spans="2:12" x14ac:dyDescent="0.25">
      <c r="B864" s="16"/>
      <c r="C864" s="17" t="str">
        <f>IF(B864="","",IF(AND($B864&gt;=Settings!$C$10,$B864&lt;=Settings!$C$11),"OK","ERROR"))</f>
        <v/>
      </c>
      <c r="D864" s="18"/>
      <c r="E864" s="5"/>
      <c r="F864" s="19"/>
      <c r="G864" s="20" t="str">
        <f t="shared" si="26"/>
        <v/>
      </c>
      <c r="H864" s="18"/>
      <c r="I864" s="5"/>
      <c r="J864" s="21" t="str">
        <f t="shared" si="27"/>
        <v/>
      </c>
      <c r="K864" s="17" t="str">
        <f>IF(I864="","",MATCH($I864,Settings!$F$5:$F$46,0))</f>
        <v/>
      </c>
      <c r="L864" s="18"/>
    </row>
    <row r="865" spans="2:12" x14ac:dyDescent="0.25">
      <c r="B865" s="16"/>
      <c r="C865" s="17" t="str">
        <f>IF(B865="","",IF(AND($B865&gt;=Settings!$C$10,$B865&lt;=Settings!$C$11),"OK","ERROR"))</f>
        <v/>
      </c>
      <c r="D865" s="18"/>
      <c r="E865" s="5"/>
      <c r="F865" s="19"/>
      <c r="G865" s="20" t="str">
        <f t="shared" si="26"/>
        <v/>
      </c>
      <c r="H865" s="18"/>
      <c r="I865" s="5"/>
      <c r="J865" s="21" t="str">
        <f t="shared" si="27"/>
        <v/>
      </c>
      <c r="K865" s="17" t="str">
        <f>IF(I865="","",MATCH($I865,Settings!$F$5:$F$46,0))</f>
        <v/>
      </c>
      <c r="L865" s="18"/>
    </row>
    <row r="866" spans="2:12" x14ac:dyDescent="0.25">
      <c r="B866" s="16"/>
      <c r="C866" s="17" t="str">
        <f>IF(B866="","",IF(AND($B866&gt;=Settings!$C$10,$B866&lt;=Settings!$C$11),"OK","ERROR"))</f>
        <v/>
      </c>
      <c r="D866" s="18"/>
      <c r="E866" s="5"/>
      <c r="F866" s="19"/>
      <c r="G866" s="20" t="str">
        <f t="shared" si="26"/>
        <v/>
      </c>
      <c r="H866" s="18"/>
      <c r="I866" s="5"/>
      <c r="J866" s="21" t="str">
        <f t="shared" si="27"/>
        <v/>
      </c>
      <c r="K866" s="17" t="str">
        <f>IF(I866="","",MATCH($I866,Settings!$F$5:$F$46,0))</f>
        <v/>
      </c>
      <c r="L866" s="18"/>
    </row>
    <row r="867" spans="2:12" x14ac:dyDescent="0.25">
      <c r="B867" s="16"/>
      <c r="C867" s="17" t="str">
        <f>IF(B867="","",IF(AND($B867&gt;=Settings!$C$10,$B867&lt;=Settings!$C$11),"OK","ERROR"))</f>
        <v/>
      </c>
      <c r="D867" s="18"/>
      <c r="E867" s="5"/>
      <c r="F867" s="19"/>
      <c r="G867" s="20" t="str">
        <f t="shared" si="26"/>
        <v/>
      </c>
      <c r="H867" s="18"/>
      <c r="I867" s="5"/>
      <c r="J867" s="21" t="str">
        <f t="shared" si="27"/>
        <v/>
      </c>
      <c r="K867" s="17" t="str">
        <f>IF(I867="","",MATCH($I867,Settings!$F$5:$F$46,0))</f>
        <v/>
      </c>
      <c r="L867" s="18"/>
    </row>
    <row r="868" spans="2:12" x14ac:dyDescent="0.25">
      <c r="B868" s="16"/>
      <c r="C868" s="17" t="str">
        <f>IF(B868="","",IF(AND($B868&gt;=Settings!$C$10,$B868&lt;=Settings!$C$11),"OK","ERROR"))</f>
        <v/>
      </c>
      <c r="D868" s="18"/>
      <c r="E868" s="5"/>
      <c r="F868" s="19"/>
      <c r="G868" s="20" t="str">
        <f t="shared" si="26"/>
        <v/>
      </c>
      <c r="H868" s="18"/>
      <c r="I868" s="5"/>
      <c r="J868" s="21" t="str">
        <f t="shared" si="27"/>
        <v/>
      </c>
      <c r="K868" s="17" t="str">
        <f>IF(I868="","",MATCH($I868,Settings!$F$5:$F$46,0))</f>
        <v/>
      </c>
      <c r="L868" s="18"/>
    </row>
    <row r="869" spans="2:12" x14ac:dyDescent="0.25">
      <c r="B869" s="16"/>
      <c r="C869" s="17" t="str">
        <f>IF(B869="","",IF(AND($B869&gt;=Settings!$C$10,$B869&lt;=Settings!$C$11),"OK","ERROR"))</f>
        <v/>
      </c>
      <c r="D869" s="18"/>
      <c r="E869" s="5"/>
      <c r="F869" s="19"/>
      <c r="G869" s="20" t="str">
        <f t="shared" si="26"/>
        <v/>
      </c>
      <c r="H869" s="18"/>
      <c r="I869" s="5"/>
      <c r="J869" s="21" t="str">
        <f t="shared" si="27"/>
        <v/>
      </c>
      <c r="K869" s="17" t="str">
        <f>IF(I869="","",MATCH($I869,Settings!$F$5:$F$46,0))</f>
        <v/>
      </c>
      <c r="L869" s="18"/>
    </row>
    <row r="870" spans="2:12" x14ac:dyDescent="0.25">
      <c r="B870" s="16"/>
      <c r="C870" s="17" t="str">
        <f>IF(B870="","",IF(AND($B870&gt;=Settings!$C$10,$B870&lt;=Settings!$C$11),"OK","ERROR"))</f>
        <v/>
      </c>
      <c r="D870" s="18"/>
      <c r="E870" s="5"/>
      <c r="F870" s="19"/>
      <c r="G870" s="20" t="str">
        <f t="shared" si="26"/>
        <v/>
      </c>
      <c r="H870" s="18"/>
      <c r="I870" s="5"/>
      <c r="J870" s="21" t="str">
        <f t="shared" si="27"/>
        <v/>
      </c>
      <c r="K870" s="17" t="str">
        <f>IF(I870="","",MATCH($I870,Settings!$F$5:$F$46,0))</f>
        <v/>
      </c>
      <c r="L870" s="18"/>
    </row>
    <row r="871" spans="2:12" x14ac:dyDescent="0.25">
      <c r="B871" s="16"/>
      <c r="C871" s="17" t="str">
        <f>IF(B871="","",IF(AND($B871&gt;=Settings!$C$10,$B871&lt;=Settings!$C$11),"OK","ERROR"))</f>
        <v/>
      </c>
      <c r="D871" s="18"/>
      <c r="E871" s="5"/>
      <c r="F871" s="19"/>
      <c r="G871" s="20" t="str">
        <f t="shared" si="26"/>
        <v/>
      </c>
      <c r="H871" s="18"/>
      <c r="I871" s="5"/>
      <c r="J871" s="21" t="str">
        <f t="shared" si="27"/>
        <v/>
      </c>
      <c r="K871" s="17" t="str">
        <f>IF(I871="","",MATCH($I871,Settings!$F$5:$F$46,0))</f>
        <v/>
      </c>
      <c r="L871" s="18"/>
    </row>
    <row r="872" spans="2:12" x14ac:dyDescent="0.25">
      <c r="B872" s="16"/>
      <c r="C872" s="17" t="str">
        <f>IF(B872="","",IF(AND($B872&gt;=Settings!$C$10,$B872&lt;=Settings!$C$11),"OK","ERROR"))</f>
        <v/>
      </c>
      <c r="D872" s="18"/>
      <c r="E872" s="5"/>
      <c r="F872" s="19"/>
      <c r="G872" s="20" t="str">
        <f t="shared" si="26"/>
        <v/>
      </c>
      <c r="H872" s="18"/>
      <c r="I872" s="5"/>
      <c r="J872" s="21" t="str">
        <f t="shared" si="27"/>
        <v/>
      </c>
      <c r="K872" s="17" t="str">
        <f>IF(I872="","",MATCH($I872,Settings!$F$5:$F$46,0))</f>
        <v/>
      </c>
      <c r="L872" s="18"/>
    </row>
    <row r="873" spans="2:12" x14ac:dyDescent="0.25">
      <c r="B873" s="16"/>
      <c r="C873" s="17" t="str">
        <f>IF(B873="","",IF(AND($B873&gt;=Settings!$C$10,$B873&lt;=Settings!$C$11),"OK","ERROR"))</f>
        <v/>
      </c>
      <c r="D873" s="18"/>
      <c r="E873" s="5"/>
      <c r="F873" s="19"/>
      <c r="G873" s="20" t="str">
        <f t="shared" si="26"/>
        <v/>
      </c>
      <c r="H873" s="18"/>
      <c r="I873" s="5"/>
      <c r="J873" s="21" t="str">
        <f t="shared" si="27"/>
        <v/>
      </c>
      <c r="K873" s="17" t="str">
        <f>IF(I873="","",MATCH($I873,Settings!$F$5:$F$46,0))</f>
        <v/>
      </c>
      <c r="L873" s="18"/>
    </row>
    <row r="874" spans="2:12" x14ac:dyDescent="0.25">
      <c r="B874" s="16"/>
      <c r="C874" s="17" t="str">
        <f>IF(B874="","",IF(AND($B874&gt;=Settings!$C$10,$B874&lt;=Settings!$C$11),"OK","ERROR"))</f>
        <v/>
      </c>
      <c r="D874" s="18"/>
      <c r="E874" s="5"/>
      <c r="F874" s="19"/>
      <c r="G874" s="20" t="str">
        <f t="shared" si="26"/>
        <v/>
      </c>
      <c r="H874" s="18"/>
      <c r="I874" s="5"/>
      <c r="J874" s="21" t="str">
        <f t="shared" si="27"/>
        <v/>
      </c>
      <c r="K874" s="17" t="str">
        <f>IF(I874="","",MATCH($I874,Settings!$F$5:$F$46,0))</f>
        <v/>
      </c>
      <c r="L874" s="18"/>
    </row>
    <row r="875" spans="2:12" x14ac:dyDescent="0.25">
      <c r="B875" s="16"/>
      <c r="C875" s="17" t="str">
        <f>IF(B875="","",IF(AND($B875&gt;=Settings!$C$10,$B875&lt;=Settings!$C$11),"OK","ERROR"))</f>
        <v/>
      </c>
      <c r="D875" s="18"/>
      <c r="E875" s="5"/>
      <c r="F875" s="19"/>
      <c r="G875" s="20" t="str">
        <f t="shared" si="26"/>
        <v/>
      </c>
      <c r="H875" s="18"/>
      <c r="I875" s="5"/>
      <c r="J875" s="21" t="str">
        <f t="shared" si="27"/>
        <v/>
      </c>
      <c r="K875" s="17" t="str">
        <f>IF(I875="","",MATCH($I875,Settings!$F$5:$F$46,0))</f>
        <v/>
      </c>
      <c r="L875" s="18"/>
    </row>
    <row r="876" spans="2:12" x14ac:dyDescent="0.25">
      <c r="B876" s="16"/>
      <c r="C876" s="17" t="str">
        <f>IF(B876="","",IF(AND($B876&gt;=Settings!$C$10,$B876&lt;=Settings!$C$11),"OK","ERROR"))</f>
        <v/>
      </c>
      <c r="D876" s="18"/>
      <c r="E876" s="5"/>
      <c r="F876" s="19"/>
      <c r="G876" s="20" t="str">
        <f t="shared" si="26"/>
        <v/>
      </c>
      <c r="H876" s="18"/>
      <c r="I876" s="5"/>
      <c r="J876" s="21" t="str">
        <f t="shared" si="27"/>
        <v/>
      </c>
      <c r="K876" s="17" t="str">
        <f>IF(I876="","",MATCH($I876,Settings!$F$5:$F$46,0))</f>
        <v/>
      </c>
      <c r="L876" s="18"/>
    </row>
    <row r="877" spans="2:12" x14ac:dyDescent="0.25">
      <c r="B877" s="16"/>
      <c r="C877" s="17" t="str">
        <f>IF(B877="","",IF(AND($B877&gt;=Settings!$C$10,$B877&lt;=Settings!$C$11),"OK","ERROR"))</f>
        <v/>
      </c>
      <c r="D877" s="18"/>
      <c r="E877" s="5"/>
      <c r="F877" s="19"/>
      <c r="G877" s="20" t="str">
        <f t="shared" si="26"/>
        <v/>
      </c>
      <c r="H877" s="18"/>
      <c r="I877" s="5"/>
      <c r="J877" s="21" t="str">
        <f t="shared" si="27"/>
        <v/>
      </c>
      <c r="K877" s="17" t="str">
        <f>IF(I877="","",MATCH($I877,Settings!$F$5:$F$46,0))</f>
        <v/>
      </c>
      <c r="L877" s="18"/>
    </row>
    <row r="878" spans="2:12" x14ac:dyDescent="0.25">
      <c r="B878" s="16"/>
      <c r="C878" s="17" t="str">
        <f>IF(B878="","",IF(AND($B878&gt;=Settings!$C$10,$B878&lt;=Settings!$C$11),"OK","ERROR"))</f>
        <v/>
      </c>
      <c r="D878" s="18"/>
      <c r="E878" s="5"/>
      <c r="F878" s="19"/>
      <c r="G878" s="20" t="str">
        <f t="shared" si="26"/>
        <v/>
      </c>
      <c r="H878" s="18"/>
      <c r="I878" s="5"/>
      <c r="J878" s="21" t="str">
        <f t="shared" si="27"/>
        <v/>
      </c>
      <c r="K878" s="17" t="str">
        <f>IF(I878="","",MATCH($I878,Settings!$F$5:$F$46,0))</f>
        <v/>
      </c>
      <c r="L878" s="18"/>
    </row>
    <row r="879" spans="2:12" x14ac:dyDescent="0.25">
      <c r="B879" s="16"/>
      <c r="C879" s="17" t="str">
        <f>IF(B879="","",IF(AND($B879&gt;=Settings!$C$10,$B879&lt;=Settings!$C$11),"OK","ERROR"))</f>
        <v/>
      </c>
      <c r="D879" s="18"/>
      <c r="E879" s="5"/>
      <c r="F879" s="19"/>
      <c r="G879" s="20" t="str">
        <f t="shared" si="26"/>
        <v/>
      </c>
      <c r="H879" s="18"/>
      <c r="I879" s="5"/>
      <c r="J879" s="21" t="str">
        <f t="shared" si="27"/>
        <v/>
      </c>
      <c r="K879" s="17" t="str">
        <f>IF(I879="","",MATCH($I879,Settings!$F$5:$F$46,0))</f>
        <v/>
      </c>
      <c r="L879" s="18"/>
    </row>
    <row r="880" spans="2:12" x14ac:dyDescent="0.25">
      <c r="B880" s="16"/>
      <c r="C880" s="17" t="str">
        <f>IF(B880="","",IF(AND($B880&gt;=Settings!$C$10,$B880&lt;=Settings!$C$11),"OK","ERROR"))</f>
        <v/>
      </c>
      <c r="D880" s="18"/>
      <c r="E880" s="5"/>
      <c r="F880" s="19"/>
      <c r="G880" s="20" t="str">
        <f t="shared" si="26"/>
        <v/>
      </c>
      <c r="H880" s="18"/>
      <c r="I880" s="5"/>
      <c r="J880" s="21" t="str">
        <f t="shared" si="27"/>
        <v/>
      </c>
      <c r="K880" s="17" t="str">
        <f>IF(I880="","",MATCH($I880,Settings!$F$5:$F$46,0))</f>
        <v/>
      </c>
      <c r="L880" s="18"/>
    </row>
    <row r="881" spans="2:12" x14ac:dyDescent="0.25">
      <c r="B881" s="16"/>
      <c r="C881" s="17" t="str">
        <f>IF(B881="","",IF(AND($B881&gt;=Settings!$C$10,$B881&lt;=Settings!$C$11),"OK","ERROR"))</f>
        <v/>
      </c>
      <c r="D881" s="18"/>
      <c r="E881" s="5"/>
      <c r="F881" s="19"/>
      <c r="G881" s="20" t="str">
        <f t="shared" si="26"/>
        <v/>
      </c>
      <c r="H881" s="18"/>
      <c r="I881" s="5"/>
      <c r="J881" s="21" t="str">
        <f t="shared" si="27"/>
        <v/>
      </c>
      <c r="K881" s="17" t="str">
        <f>IF(I881="","",MATCH($I881,Settings!$F$5:$F$46,0))</f>
        <v/>
      </c>
      <c r="L881" s="18"/>
    </row>
    <row r="882" spans="2:12" x14ac:dyDescent="0.25">
      <c r="B882" s="16"/>
      <c r="C882" s="17" t="str">
        <f>IF(B882="","",IF(AND($B882&gt;=Settings!$C$10,$B882&lt;=Settings!$C$11),"OK","ERROR"))</f>
        <v/>
      </c>
      <c r="D882" s="18"/>
      <c r="E882" s="5"/>
      <c r="F882" s="19"/>
      <c r="G882" s="20" t="str">
        <f t="shared" si="26"/>
        <v/>
      </c>
      <c r="H882" s="18"/>
      <c r="I882" s="5"/>
      <c r="J882" s="21" t="str">
        <f t="shared" si="27"/>
        <v/>
      </c>
      <c r="K882" s="17" t="str">
        <f>IF(I882="","",MATCH($I882,Settings!$F$5:$F$46,0))</f>
        <v/>
      </c>
      <c r="L882" s="18"/>
    </row>
    <row r="883" spans="2:12" x14ac:dyDescent="0.25">
      <c r="B883" s="16"/>
      <c r="C883" s="17" t="str">
        <f>IF(B883="","",IF(AND($B883&gt;=Settings!$C$10,$B883&lt;=Settings!$C$11),"OK","ERROR"))</f>
        <v/>
      </c>
      <c r="D883" s="18"/>
      <c r="E883" s="5"/>
      <c r="F883" s="19"/>
      <c r="G883" s="20" t="str">
        <f t="shared" si="26"/>
        <v/>
      </c>
      <c r="H883" s="18"/>
      <c r="I883" s="5"/>
      <c r="J883" s="21" t="str">
        <f t="shared" si="27"/>
        <v/>
      </c>
      <c r="K883" s="17" t="str">
        <f>IF(I883="","",MATCH($I883,Settings!$F$5:$F$46,0))</f>
        <v/>
      </c>
      <c r="L883" s="18"/>
    </row>
    <row r="884" spans="2:12" x14ac:dyDescent="0.25">
      <c r="B884" s="16"/>
      <c r="C884" s="17" t="str">
        <f>IF(B884="","",IF(AND($B884&gt;=Settings!$C$10,$B884&lt;=Settings!$C$11),"OK","ERROR"))</f>
        <v/>
      </c>
      <c r="D884" s="18"/>
      <c r="E884" s="5"/>
      <c r="F884" s="19"/>
      <c r="G884" s="20" t="str">
        <f t="shared" si="26"/>
        <v/>
      </c>
      <c r="H884" s="18"/>
      <c r="I884" s="5"/>
      <c r="J884" s="21" t="str">
        <f t="shared" si="27"/>
        <v/>
      </c>
      <c r="K884" s="17" t="str">
        <f>IF(I884="","",MATCH($I884,Settings!$F$5:$F$46,0))</f>
        <v/>
      </c>
      <c r="L884" s="18"/>
    </row>
    <row r="885" spans="2:12" x14ac:dyDescent="0.25">
      <c r="B885" s="16"/>
      <c r="C885" s="17" t="str">
        <f>IF(B885="","",IF(AND($B885&gt;=Settings!$C$10,$B885&lt;=Settings!$C$11),"OK","ERROR"))</f>
        <v/>
      </c>
      <c r="D885" s="18"/>
      <c r="E885" s="5"/>
      <c r="F885" s="19"/>
      <c r="G885" s="20" t="str">
        <f t="shared" si="26"/>
        <v/>
      </c>
      <c r="H885" s="18"/>
      <c r="I885" s="5"/>
      <c r="J885" s="21" t="str">
        <f t="shared" si="27"/>
        <v/>
      </c>
      <c r="K885" s="17" t="str">
        <f>IF(I885="","",MATCH($I885,Settings!$F$5:$F$46,0))</f>
        <v/>
      </c>
      <c r="L885" s="18"/>
    </row>
    <row r="886" spans="2:12" x14ac:dyDescent="0.25">
      <c r="B886" s="16"/>
      <c r="C886" s="17" t="str">
        <f>IF(B886="","",IF(AND($B886&gt;=Settings!$C$10,$B886&lt;=Settings!$C$11),"OK","ERROR"))</f>
        <v/>
      </c>
      <c r="D886" s="18"/>
      <c r="E886" s="5"/>
      <c r="F886" s="19"/>
      <c r="G886" s="20" t="str">
        <f t="shared" si="26"/>
        <v/>
      </c>
      <c r="H886" s="18"/>
      <c r="I886" s="5"/>
      <c r="J886" s="21" t="str">
        <f t="shared" si="27"/>
        <v/>
      </c>
      <c r="K886" s="17" t="str">
        <f>IF(I886="","",MATCH($I886,Settings!$F$5:$F$46,0))</f>
        <v/>
      </c>
      <c r="L886" s="18"/>
    </row>
    <row r="887" spans="2:12" x14ac:dyDescent="0.25">
      <c r="B887" s="16"/>
      <c r="C887" s="17" t="str">
        <f>IF(B887="","",IF(AND($B887&gt;=Settings!$C$10,$B887&lt;=Settings!$C$11),"OK","ERROR"))</f>
        <v/>
      </c>
      <c r="D887" s="18"/>
      <c r="E887" s="5"/>
      <c r="F887" s="19"/>
      <c r="G887" s="20" t="str">
        <f t="shared" si="26"/>
        <v/>
      </c>
      <c r="H887" s="18"/>
      <c r="I887" s="5"/>
      <c r="J887" s="21" t="str">
        <f t="shared" si="27"/>
        <v/>
      </c>
      <c r="K887" s="17" t="str">
        <f>IF(I887="","",MATCH($I887,Settings!$F$5:$F$46,0))</f>
        <v/>
      </c>
      <c r="L887" s="18"/>
    </row>
    <row r="888" spans="2:12" x14ac:dyDescent="0.25">
      <c r="B888" s="16"/>
      <c r="C888" s="17" t="str">
        <f>IF(B888="","",IF(AND($B888&gt;=Settings!$C$10,$B888&lt;=Settings!$C$11),"OK","ERROR"))</f>
        <v/>
      </c>
      <c r="D888" s="18"/>
      <c r="E888" s="5"/>
      <c r="F888" s="19"/>
      <c r="G888" s="20" t="str">
        <f t="shared" si="26"/>
        <v/>
      </c>
      <c r="H888" s="18"/>
      <c r="I888" s="5"/>
      <c r="J888" s="21" t="str">
        <f t="shared" si="27"/>
        <v/>
      </c>
      <c r="K888" s="17" t="str">
        <f>IF(I888="","",MATCH($I888,Settings!$F$5:$F$46,0))</f>
        <v/>
      </c>
      <c r="L888" s="18"/>
    </row>
    <row r="889" spans="2:12" x14ac:dyDescent="0.25">
      <c r="B889" s="16"/>
      <c r="C889" s="17" t="str">
        <f>IF(B889="","",IF(AND($B889&gt;=Settings!$C$10,$B889&lt;=Settings!$C$11),"OK","ERROR"))</f>
        <v/>
      </c>
      <c r="D889" s="18"/>
      <c r="E889" s="5"/>
      <c r="F889" s="19"/>
      <c r="G889" s="20" t="str">
        <f t="shared" si="26"/>
        <v/>
      </c>
      <c r="H889" s="18"/>
      <c r="I889" s="5"/>
      <c r="J889" s="21" t="str">
        <f t="shared" si="27"/>
        <v/>
      </c>
      <c r="K889" s="17" t="str">
        <f>IF(I889="","",MATCH($I889,Settings!$F$5:$F$46,0))</f>
        <v/>
      </c>
      <c r="L889" s="18"/>
    </row>
    <row r="890" spans="2:12" x14ac:dyDescent="0.25">
      <c r="B890" s="16"/>
      <c r="C890" s="17" t="str">
        <f>IF(B890="","",IF(AND($B890&gt;=Settings!$C$10,$B890&lt;=Settings!$C$11),"OK","ERROR"))</f>
        <v/>
      </c>
      <c r="D890" s="18"/>
      <c r="E890" s="5"/>
      <c r="F890" s="19"/>
      <c r="G890" s="20" t="str">
        <f t="shared" si="26"/>
        <v/>
      </c>
      <c r="H890" s="18"/>
      <c r="I890" s="5"/>
      <c r="J890" s="21" t="str">
        <f t="shared" si="27"/>
        <v/>
      </c>
      <c r="K890" s="17" t="str">
        <f>IF(I890="","",MATCH($I890,Settings!$F$5:$F$46,0))</f>
        <v/>
      </c>
      <c r="L890" s="18"/>
    </row>
    <row r="891" spans="2:12" x14ac:dyDescent="0.25">
      <c r="B891" s="16"/>
      <c r="C891" s="17" t="str">
        <f>IF(B891="","",IF(AND($B891&gt;=Settings!$C$10,$B891&lt;=Settings!$C$11),"OK","ERROR"))</f>
        <v/>
      </c>
      <c r="D891" s="18"/>
      <c r="E891" s="5"/>
      <c r="F891" s="19"/>
      <c r="G891" s="20" t="str">
        <f t="shared" si="26"/>
        <v/>
      </c>
      <c r="H891" s="18"/>
      <c r="I891" s="5"/>
      <c r="J891" s="21" t="str">
        <f t="shared" si="27"/>
        <v/>
      </c>
      <c r="K891" s="17" t="str">
        <f>IF(I891="","",MATCH($I891,Settings!$F$5:$F$46,0))</f>
        <v/>
      </c>
      <c r="L891" s="18"/>
    </row>
    <row r="892" spans="2:12" x14ac:dyDescent="0.25">
      <c r="B892" s="16"/>
      <c r="C892" s="17" t="str">
        <f>IF(B892="","",IF(AND($B892&gt;=Settings!$C$10,$B892&lt;=Settings!$C$11),"OK","ERROR"))</f>
        <v/>
      </c>
      <c r="D892" s="18"/>
      <c r="E892" s="5"/>
      <c r="F892" s="19"/>
      <c r="G892" s="20" t="str">
        <f t="shared" si="26"/>
        <v/>
      </c>
      <c r="H892" s="18"/>
      <c r="I892" s="5"/>
      <c r="J892" s="21" t="str">
        <f t="shared" si="27"/>
        <v/>
      </c>
      <c r="K892" s="17" t="str">
        <f>IF(I892="","",MATCH($I892,Settings!$F$5:$F$46,0))</f>
        <v/>
      </c>
      <c r="L892" s="18"/>
    </row>
    <row r="893" spans="2:12" x14ac:dyDescent="0.25">
      <c r="B893" s="16"/>
      <c r="C893" s="17" t="str">
        <f>IF(B893="","",IF(AND($B893&gt;=Settings!$C$10,$B893&lt;=Settings!$C$11),"OK","ERROR"))</f>
        <v/>
      </c>
      <c r="D893" s="18"/>
      <c r="E893" s="5"/>
      <c r="F893" s="19"/>
      <c r="G893" s="20" t="str">
        <f t="shared" si="26"/>
        <v/>
      </c>
      <c r="H893" s="18"/>
      <c r="I893" s="5"/>
      <c r="J893" s="21" t="str">
        <f t="shared" si="27"/>
        <v/>
      </c>
      <c r="K893" s="17" t="str">
        <f>IF(I893="","",MATCH($I893,Settings!$F$5:$F$46,0))</f>
        <v/>
      </c>
      <c r="L893" s="18"/>
    </row>
    <row r="894" spans="2:12" x14ac:dyDescent="0.25">
      <c r="B894" s="16"/>
      <c r="C894" s="17" t="str">
        <f>IF(B894="","",IF(AND($B894&gt;=Settings!$C$10,$B894&lt;=Settings!$C$11),"OK","ERROR"))</f>
        <v/>
      </c>
      <c r="D894" s="18"/>
      <c r="E894" s="5"/>
      <c r="F894" s="19"/>
      <c r="G894" s="20" t="str">
        <f t="shared" si="26"/>
        <v/>
      </c>
      <c r="H894" s="18"/>
      <c r="I894" s="5"/>
      <c r="J894" s="21" t="str">
        <f t="shared" si="27"/>
        <v/>
      </c>
      <c r="K894" s="17" t="str">
        <f>IF(I894="","",MATCH($I894,Settings!$F$5:$F$46,0))</f>
        <v/>
      </c>
      <c r="L894" s="18"/>
    </row>
    <row r="895" spans="2:12" x14ac:dyDescent="0.25">
      <c r="B895" s="16"/>
      <c r="C895" s="17" t="str">
        <f>IF(B895="","",IF(AND($B895&gt;=Settings!$C$10,$B895&lt;=Settings!$C$11),"OK","ERROR"))</f>
        <v/>
      </c>
      <c r="D895" s="18"/>
      <c r="E895" s="5"/>
      <c r="F895" s="19"/>
      <c r="G895" s="20" t="str">
        <f t="shared" si="26"/>
        <v/>
      </c>
      <c r="H895" s="18"/>
      <c r="I895" s="5"/>
      <c r="J895" s="21" t="str">
        <f t="shared" si="27"/>
        <v/>
      </c>
      <c r="K895" s="17" t="str">
        <f>IF(I895="","",MATCH($I895,Settings!$F$5:$F$46,0))</f>
        <v/>
      </c>
      <c r="L895" s="18"/>
    </row>
    <row r="896" spans="2:12" x14ac:dyDescent="0.25">
      <c r="B896" s="16"/>
      <c r="C896" s="17" t="str">
        <f>IF(B896="","",IF(AND($B896&gt;=Settings!$C$10,$B896&lt;=Settings!$C$11),"OK","ERROR"))</f>
        <v/>
      </c>
      <c r="D896" s="18"/>
      <c r="E896" s="5"/>
      <c r="F896" s="19"/>
      <c r="G896" s="20" t="str">
        <f t="shared" si="26"/>
        <v/>
      </c>
      <c r="H896" s="18"/>
      <c r="I896" s="5"/>
      <c r="J896" s="21" t="str">
        <f t="shared" si="27"/>
        <v/>
      </c>
      <c r="K896" s="17" t="str">
        <f>IF(I896="","",MATCH($I896,Settings!$F$5:$F$46,0))</f>
        <v/>
      </c>
      <c r="L896" s="18"/>
    </row>
    <row r="897" spans="2:12" x14ac:dyDescent="0.25">
      <c r="B897" s="16"/>
      <c r="C897" s="17" t="str">
        <f>IF(B897="","",IF(AND($B897&gt;=Settings!$C$10,$B897&lt;=Settings!$C$11),"OK","ERROR"))</f>
        <v/>
      </c>
      <c r="D897" s="18"/>
      <c r="E897" s="5"/>
      <c r="F897" s="19"/>
      <c r="G897" s="20" t="str">
        <f t="shared" si="26"/>
        <v/>
      </c>
      <c r="H897" s="18"/>
      <c r="I897" s="5"/>
      <c r="J897" s="21" t="str">
        <f t="shared" si="27"/>
        <v/>
      </c>
      <c r="K897" s="17" t="str">
        <f>IF(I897="","",MATCH($I897,Settings!$F$5:$F$46,0))</f>
        <v/>
      </c>
      <c r="L897" s="18"/>
    </row>
    <row r="898" spans="2:12" x14ac:dyDescent="0.25">
      <c r="B898" s="16"/>
      <c r="C898" s="17" t="str">
        <f>IF(B898="","",IF(AND($B898&gt;=Settings!$C$10,$B898&lt;=Settings!$C$11),"OK","ERROR"))</f>
        <v/>
      </c>
      <c r="D898" s="18"/>
      <c r="E898" s="5"/>
      <c r="F898" s="19"/>
      <c r="G898" s="20" t="str">
        <f t="shared" si="26"/>
        <v/>
      </c>
      <c r="H898" s="18"/>
      <c r="I898" s="5"/>
      <c r="J898" s="21" t="str">
        <f t="shared" si="27"/>
        <v/>
      </c>
      <c r="K898" s="17" t="str">
        <f>IF(I898="","",MATCH($I898,Settings!$F$5:$F$46,0))</f>
        <v/>
      </c>
      <c r="L898" s="18"/>
    </row>
    <row r="899" spans="2:12" x14ac:dyDescent="0.25">
      <c r="B899" s="16"/>
      <c r="C899" s="17" t="str">
        <f>IF(B899="","",IF(AND($B899&gt;=Settings!$C$10,$B899&lt;=Settings!$C$11),"OK","ERROR"))</f>
        <v/>
      </c>
      <c r="D899" s="18"/>
      <c r="E899" s="5"/>
      <c r="F899" s="19"/>
      <c r="G899" s="20" t="str">
        <f t="shared" si="26"/>
        <v/>
      </c>
      <c r="H899" s="18"/>
      <c r="I899" s="5"/>
      <c r="J899" s="21" t="str">
        <f t="shared" si="27"/>
        <v/>
      </c>
      <c r="K899" s="17" t="str">
        <f>IF(I899="","",MATCH($I899,Settings!$F$5:$F$46,0))</f>
        <v/>
      </c>
      <c r="L899" s="18"/>
    </row>
    <row r="900" spans="2:12" x14ac:dyDescent="0.25">
      <c r="B900" s="16"/>
      <c r="C900" s="17" t="str">
        <f>IF(B900="","",IF(AND($B900&gt;=Settings!$C$10,$B900&lt;=Settings!$C$11),"OK","ERROR"))</f>
        <v/>
      </c>
      <c r="D900" s="18"/>
      <c r="E900" s="5"/>
      <c r="F900" s="19"/>
      <c r="G900" s="20" t="str">
        <f t="shared" si="26"/>
        <v/>
      </c>
      <c r="H900" s="18"/>
      <c r="I900" s="5"/>
      <c r="J900" s="21" t="str">
        <f t="shared" si="27"/>
        <v/>
      </c>
      <c r="K900" s="17" t="str">
        <f>IF(I900="","",MATCH($I900,Settings!$F$5:$F$46,0))</f>
        <v/>
      </c>
      <c r="L900" s="18"/>
    </row>
    <row r="901" spans="2:12" x14ac:dyDescent="0.25">
      <c r="B901" s="16"/>
      <c r="C901" s="17" t="str">
        <f>IF(B901="","",IF(AND($B901&gt;=Settings!$C$10,$B901&lt;=Settings!$C$11),"OK","ERROR"))</f>
        <v/>
      </c>
      <c r="D901" s="18"/>
      <c r="E901" s="5"/>
      <c r="F901" s="19"/>
      <c r="G901" s="20" t="str">
        <f t="shared" si="26"/>
        <v/>
      </c>
      <c r="H901" s="18"/>
      <c r="I901" s="5"/>
      <c r="J901" s="21" t="str">
        <f t="shared" si="27"/>
        <v/>
      </c>
      <c r="K901" s="17" t="str">
        <f>IF(I901="","",MATCH($I901,Settings!$F$5:$F$46,0))</f>
        <v/>
      </c>
      <c r="L901" s="18"/>
    </row>
    <row r="902" spans="2:12" x14ac:dyDescent="0.25">
      <c r="B902" s="16"/>
      <c r="C902" s="17" t="str">
        <f>IF(B902="","",IF(AND($B902&gt;=Settings!$C$10,$B902&lt;=Settings!$C$11),"OK","ERROR"))</f>
        <v/>
      </c>
      <c r="D902" s="18"/>
      <c r="E902" s="5"/>
      <c r="F902" s="19"/>
      <c r="G902" s="20" t="str">
        <f t="shared" ref="G902:G965" si="28">IF(F902="","",IF(I902&lt;&gt;"","OK","ERROR"))</f>
        <v/>
      </c>
      <c r="H902" s="18"/>
      <c r="I902" s="5"/>
      <c r="J902" s="21" t="str">
        <f t="shared" si="27"/>
        <v/>
      </c>
      <c r="K902" s="17" t="str">
        <f>IF(I902="","",MATCH($I902,Settings!$F$5:$F$46,0))</f>
        <v/>
      </c>
      <c r="L902" s="18"/>
    </row>
    <row r="903" spans="2:12" x14ac:dyDescent="0.25">
      <c r="B903" s="16"/>
      <c r="C903" s="17" t="str">
        <f>IF(B903="","",IF(AND($B903&gt;=Settings!$C$10,$B903&lt;=Settings!$C$11),"OK","ERROR"))</f>
        <v/>
      </c>
      <c r="D903" s="18"/>
      <c r="E903" s="5"/>
      <c r="F903" s="19"/>
      <c r="G903" s="20" t="str">
        <f t="shared" si="28"/>
        <v/>
      </c>
      <c r="H903" s="18"/>
      <c r="I903" s="5"/>
      <c r="J903" s="21" t="str">
        <f t="shared" ref="J903:J966" si="29">IF(I903="","",IF(ISERROR($K903)=TRUE,"ERROR","OK"))</f>
        <v/>
      </c>
      <c r="K903" s="17" t="str">
        <f>IF(I903="","",MATCH($I903,Settings!$F$5:$F$46,0))</f>
        <v/>
      </c>
      <c r="L903" s="18"/>
    </row>
    <row r="904" spans="2:12" x14ac:dyDescent="0.25">
      <c r="B904" s="16"/>
      <c r="C904" s="17" t="str">
        <f>IF(B904="","",IF(AND($B904&gt;=Settings!$C$10,$B904&lt;=Settings!$C$11),"OK","ERROR"))</f>
        <v/>
      </c>
      <c r="D904" s="18"/>
      <c r="E904" s="5"/>
      <c r="F904" s="19"/>
      <c r="G904" s="20" t="str">
        <f t="shared" si="28"/>
        <v/>
      </c>
      <c r="H904" s="18"/>
      <c r="I904" s="5"/>
      <c r="J904" s="21" t="str">
        <f t="shared" si="29"/>
        <v/>
      </c>
      <c r="K904" s="17" t="str">
        <f>IF(I904="","",MATCH($I904,Settings!$F$5:$F$46,0))</f>
        <v/>
      </c>
      <c r="L904" s="18"/>
    </row>
    <row r="905" spans="2:12" x14ac:dyDescent="0.25">
      <c r="B905" s="16"/>
      <c r="C905" s="17" t="str">
        <f>IF(B905="","",IF(AND($B905&gt;=Settings!$C$10,$B905&lt;=Settings!$C$11),"OK","ERROR"))</f>
        <v/>
      </c>
      <c r="D905" s="18"/>
      <c r="E905" s="5"/>
      <c r="F905" s="19"/>
      <c r="G905" s="20" t="str">
        <f t="shared" si="28"/>
        <v/>
      </c>
      <c r="H905" s="18"/>
      <c r="I905" s="5"/>
      <c r="J905" s="21" t="str">
        <f t="shared" si="29"/>
        <v/>
      </c>
      <c r="K905" s="17" t="str">
        <f>IF(I905="","",MATCH($I905,Settings!$F$5:$F$46,0))</f>
        <v/>
      </c>
      <c r="L905" s="18"/>
    </row>
    <row r="906" spans="2:12" x14ac:dyDescent="0.25">
      <c r="B906" s="16"/>
      <c r="C906" s="17" t="str">
        <f>IF(B906="","",IF(AND($B906&gt;=Settings!$C$10,$B906&lt;=Settings!$C$11),"OK","ERROR"))</f>
        <v/>
      </c>
      <c r="D906" s="18"/>
      <c r="E906" s="5"/>
      <c r="F906" s="19"/>
      <c r="G906" s="20" t="str">
        <f t="shared" si="28"/>
        <v/>
      </c>
      <c r="H906" s="18"/>
      <c r="I906" s="5"/>
      <c r="J906" s="21" t="str">
        <f t="shared" si="29"/>
        <v/>
      </c>
      <c r="K906" s="17" t="str">
        <f>IF(I906="","",MATCH($I906,Settings!$F$5:$F$46,0))</f>
        <v/>
      </c>
      <c r="L906" s="18"/>
    </row>
    <row r="907" spans="2:12" x14ac:dyDescent="0.25">
      <c r="B907" s="16"/>
      <c r="C907" s="17" t="str">
        <f>IF(B907="","",IF(AND($B907&gt;=Settings!$C$10,$B907&lt;=Settings!$C$11),"OK","ERROR"))</f>
        <v/>
      </c>
      <c r="D907" s="18"/>
      <c r="E907" s="5"/>
      <c r="F907" s="19"/>
      <c r="G907" s="20" t="str">
        <f t="shared" si="28"/>
        <v/>
      </c>
      <c r="H907" s="18"/>
      <c r="I907" s="5"/>
      <c r="J907" s="21" t="str">
        <f t="shared" si="29"/>
        <v/>
      </c>
      <c r="K907" s="17" t="str">
        <f>IF(I907="","",MATCH($I907,Settings!$F$5:$F$46,0))</f>
        <v/>
      </c>
      <c r="L907" s="18"/>
    </row>
    <row r="908" spans="2:12" x14ac:dyDescent="0.25">
      <c r="B908" s="16"/>
      <c r="C908" s="17" t="str">
        <f>IF(B908="","",IF(AND($B908&gt;=Settings!$C$10,$B908&lt;=Settings!$C$11),"OK","ERROR"))</f>
        <v/>
      </c>
      <c r="D908" s="18"/>
      <c r="E908" s="5"/>
      <c r="F908" s="19"/>
      <c r="G908" s="20" t="str">
        <f t="shared" si="28"/>
        <v/>
      </c>
      <c r="H908" s="18"/>
      <c r="I908" s="5"/>
      <c r="J908" s="21" t="str">
        <f t="shared" si="29"/>
        <v/>
      </c>
      <c r="K908" s="17" t="str">
        <f>IF(I908="","",MATCH($I908,Settings!$F$5:$F$46,0))</f>
        <v/>
      </c>
      <c r="L908" s="18"/>
    </row>
    <row r="909" spans="2:12" x14ac:dyDescent="0.25">
      <c r="B909" s="16"/>
      <c r="C909" s="17" t="str">
        <f>IF(B909="","",IF(AND($B909&gt;=Settings!$C$10,$B909&lt;=Settings!$C$11),"OK","ERROR"))</f>
        <v/>
      </c>
      <c r="D909" s="18"/>
      <c r="E909" s="5"/>
      <c r="F909" s="19"/>
      <c r="G909" s="20" t="str">
        <f t="shared" si="28"/>
        <v/>
      </c>
      <c r="H909" s="18"/>
      <c r="I909" s="5"/>
      <c r="J909" s="21" t="str">
        <f t="shared" si="29"/>
        <v/>
      </c>
      <c r="K909" s="17" t="str">
        <f>IF(I909="","",MATCH($I909,Settings!$F$5:$F$46,0))</f>
        <v/>
      </c>
      <c r="L909" s="18"/>
    </row>
    <row r="910" spans="2:12" x14ac:dyDescent="0.25">
      <c r="B910" s="16"/>
      <c r="C910" s="17" t="str">
        <f>IF(B910="","",IF(AND($B910&gt;=Settings!$C$10,$B910&lt;=Settings!$C$11),"OK","ERROR"))</f>
        <v/>
      </c>
      <c r="D910" s="18"/>
      <c r="E910" s="5"/>
      <c r="F910" s="19"/>
      <c r="G910" s="20" t="str">
        <f t="shared" si="28"/>
        <v/>
      </c>
      <c r="H910" s="18"/>
      <c r="I910" s="5"/>
      <c r="J910" s="21" t="str">
        <f t="shared" si="29"/>
        <v/>
      </c>
      <c r="K910" s="17" t="str">
        <f>IF(I910="","",MATCH($I910,Settings!$F$5:$F$46,0))</f>
        <v/>
      </c>
      <c r="L910" s="18"/>
    </row>
    <row r="911" spans="2:12" x14ac:dyDescent="0.25">
      <c r="B911" s="16"/>
      <c r="C911" s="17" t="str">
        <f>IF(B911="","",IF(AND($B911&gt;=Settings!$C$10,$B911&lt;=Settings!$C$11),"OK","ERROR"))</f>
        <v/>
      </c>
      <c r="D911" s="18"/>
      <c r="E911" s="5"/>
      <c r="F911" s="19"/>
      <c r="G911" s="20" t="str">
        <f t="shared" si="28"/>
        <v/>
      </c>
      <c r="H911" s="18"/>
      <c r="I911" s="5"/>
      <c r="J911" s="21" t="str">
        <f t="shared" si="29"/>
        <v/>
      </c>
      <c r="K911" s="17" t="str">
        <f>IF(I911="","",MATCH($I911,Settings!$F$5:$F$46,0))</f>
        <v/>
      </c>
      <c r="L911" s="18"/>
    </row>
    <row r="912" spans="2:12" x14ac:dyDescent="0.25">
      <c r="B912" s="16"/>
      <c r="C912" s="17" t="str">
        <f>IF(B912="","",IF(AND($B912&gt;=Settings!$C$10,$B912&lt;=Settings!$C$11),"OK","ERROR"))</f>
        <v/>
      </c>
      <c r="D912" s="18"/>
      <c r="E912" s="5"/>
      <c r="F912" s="19"/>
      <c r="G912" s="20" t="str">
        <f t="shared" si="28"/>
        <v/>
      </c>
      <c r="H912" s="18"/>
      <c r="I912" s="5"/>
      <c r="J912" s="21" t="str">
        <f t="shared" si="29"/>
        <v/>
      </c>
      <c r="K912" s="17" t="str">
        <f>IF(I912="","",MATCH($I912,Settings!$F$5:$F$46,0))</f>
        <v/>
      </c>
      <c r="L912" s="18"/>
    </row>
    <row r="913" spans="2:12" x14ac:dyDescent="0.25">
      <c r="B913" s="16"/>
      <c r="C913" s="17" t="str">
        <f>IF(B913="","",IF(AND($B913&gt;=Settings!$C$10,$B913&lt;=Settings!$C$11),"OK","ERROR"))</f>
        <v/>
      </c>
      <c r="D913" s="18"/>
      <c r="E913" s="5"/>
      <c r="F913" s="19"/>
      <c r="G913" s="20" t="str">
        <f t="shared" si="28"/>
        <v/>
      </c>
      <c r="H913" s="18"/>
      <c r="I913" s="5"/>
      <c r="J913" s="21" t="str">
        <f t="shared" si="29"/>
        <v/>
      </c>
      <c r="K913" s="17" t="str">
        <f>IF(I913="","",MATCH($I913,Settings!$F$5:$F$46,0))</f>
        <v/>
      </c>
      <c r="L913" s="18"/>
    </row>
    <row r="914" spans="2:12" x14ac:dyDescent="0.25">
      <c r="B914" s="16"/>
      <c r="C914" s="17" t="str">
        <f>IF(B914="","",IF(AND($B914&gt;=Settings!$C$10,$B914&lt;=Settings!$C$11),"OK","ERROR"))</f>
        <v/>
      </c>
      <c r="D914" s="18"/>
      <c r="E914" s="5"/>
      <c r="F914" s="19"/>
      <c r="G914" s="20" t="str">
        <f t="shared" si="28"/>
        <v/>
      </c>
      <c r="H914" s="18"/>
      <c r="I914" s="5"/>
      <c r="J914" s="21" t="str">
        <f t="shared" si="29"/>
        <v/>
      </c>
      <c r="K914" s="17" t="str">
        <f>IF(I914="","",MATCH($I914,Settings!$F$5:$F$46,0))</f>
        <v/>
      </c>
      <c r="L914" s="18"/>
    </row>
    <row r="915" spans="2:12" x14ac:dyDescent="0.25">
      <c r="B915" s="16"/>
      <c r="C915" s="17" t="str">
        <f>IF(B915="","",IF(AND($B915&gt;=Settings!$C$10,$B915&lt;=Settings!$C$11),"OK","ERROR"))</f>
        <v/>
      </c>
      <c r="D915" s="18"/>
      <c r="E915" s="5"/>
      <c r="F915" s="19"/>
      <c r="G915" s="20" t="str">
        <f t="shared" si="28"/>
        <v/>
      </c>
      <c r="H915" s="18"/>
      <c r="I915" s="5"/>
      <c r="J915" s="21" t="str">
        <f t="shared" si="29"/>
        <v/>
      </c>
      <c r="K915" s="17" t="str">
        <f>IF(I915="","",MATCH($I915,Settings!$F$5:$F$46,0))</f>
        <v/>
      </c>
      <c r="L915" s="18"/>
    </row>
    <row r="916" spans="2:12" x14ac:dyDescent="0.25">
      <c r="B916" s="16"/>
      <c r="C916" s="17" t="str">
        <f>IF(B916="","",IF(AND($B916&gt;=Settings!$C$10,$B916&lt;=Settings!$C$11),"OK","ERROR"))</f>
        <v/>
      </c>
      <c r="D916" s="18"/>
      <c r="E916" s="5"/>
      <c r="F916" s="19"/>
      <c r="G916" s="20" t="str">
        <f t="shared" si="28"/>
        <v/>
      </c>
      <c r="H916" s="18"/>
      <c r="I916" s="5"/>
      <c r="J916" s="21" t="str">
        <f t="shared" si="29"/>
        <v/>
      </c>
      <c r="K916" s="17" t="str">
        <f>IF(I916="","",MATCH($I916,Settings!$F$5:$F$46,0))</f>
        <v/>
      </c>
      <c r="L916" s="18"/>
    </row>
    <row r="917" spans="2:12" x14ac:dyDescent="0.25">
      <c r="B917" s="16"/>
      <c r="C917" s="17" t="str">
        <f>IF(B917="","",IF(AND($B917&gt;=Settings!$C$10,$B917&lt;=Settings!$C$11),"OK","ERROR"))</f>
        <v/>
      </c>
      <c r="D917" s="18"/>
      <c r="E917" s="5"/>
      <c r="F917" s="19"/>
      <c r="G917" s="20" t="str">
        <f t="shared" si="28"/>
        <v/>
      </c>
      <c r="H917" s="18"/>
      <c r="I917" s="5"/>
      <c r="J917" s="21" t="str">
        <f t="shared" si="29"/>
        <v/>
      </c>
      <c r="K917" s="17" t="str">
        <f>IF(I917="","",MATCH($I917,Settings!$F$5:$F$46,0))</f>
        <v/>
      </c>
      <c r="L917" s="18"/>
    </row>
    <row r="918" spans="2:12" x14ac:dyDescent="0.25">
      <c r="B918" s="16"/>
      <c r="C918" s="17" t="str">
        <f>IF(B918="","",IF(AND($B918&gt;=Settings!$C$10,$B918&lt;=Settings!$C$11),"OK","ERROR"))</f>
        <v/>
      </c>
      <c r="D918" s="18"/>
      <c r="E918" s="5"/>
      <c r="F918" s="19"/>
      <c r="G918" s="20" t="str">
        <f t="shared" si="28"/>
        <v/>
      </c>
      <c r="H918" s="18"/>
      <c r="I918" s="5"/>
      <c r="J918" s="21" t="str">
        <f t="shared" si="29"/>
        <v/>
      </c>
      <c r="K918" s="17" t="str">
        <f>IF(I918="","",MATCH($I918,Settings!$F$5:$F$46,0))</f>
        <v/>
      </c>
      <c r="L918" s="18"/>
    </row>
    <row r="919" spans="2:12" x14ac:dyDescent="0.25">
      <c r="B919" s="16"/>
      <c r="C919" s="17" t="str">
        <f>IF(B919="","",IF(AND($B919&gt;=Settings!$C$10,$B919&lt;=Settings!$C$11),"OK","ERROR"))</f>
        <v/>
      </c>
      <c r="D919" s="18"/>
      <c r="E919" s="5"/>
      <c r="F919" s="19"/>
      <c r="G919" s="20" t="str">
        <f t="shared" si="28"/>
        <v/>
      </c>
      <c r="H919" s="18"/>
      <c r="I919" s="5"/>
      <c r="J919" s="21" t="str">
        <f t="shared" si="29"/>
        <v/>
      </c>
      <c r="K919" s="17" t="str">
        <f>IF(I919="","",MATCH($I919,Settings!$F$5:$F$46,0))</f>
        <v/>
      </c>
      <c r="L919" s="18"/>
    </row>
    <row r="920" spans="2:12" x14ac:dyDescent="0.25">
      <c r="B920" s="16"/>
      <c r="C920" s="17" t="str">
        <f>IF(B920="","",IF(AND($B920&gt;=Settings!$C$10,$B920&lt;=Settings!$C$11),"OK","ERROR"))</f>
        <v/>
      </c>
      <c r="D920" s="18"/>
      <c r="E920" s="5"/>
      <c r="F920" s="19"/>
      <c r="G920" s="20" t="str">
        <f t="shared" si="28"/>
        <v/>
      </c>
      <c r="H920" s="18"/>
      <c r="I920" s="5"/>
      <c r="J920" s="21" t="str">
        <f t="shared" si="29"/>
        <v/>
      </c>
      <c r="K920" s="17" t="str">
        <f>IF(I920="","",MATCH($I920,Settings!$F$5:$F$46,0))</f>
        <v/>
      </c>
      <c r="L920" s="18"/>
    </row>
    <row r="921" spans="2:12" x14ac:dyDescent="0.25">
      <c r="B921" s="16"/>
      <c r="C921" s="17" t="str">
        <f>IF(B921="","",IF(AND($B921&gt;=Settings!$C$10,$B921&lt;=Settings!$C$11),"OK","ERROR"))</f>
        <v/>
      </c>
      <c r="D921" s="18"/>
      <c r="E921" s="5"/>
      <c r="F921" s="19"/>
      <c r="G921" s="20" t="str">
        <f t="shared" si="28"/>
        <v/>
      </c>
      <c r="H921" s="18"/>
      <c r="I921" s="5"/>
      <c r="J921" s="21" t="str">
        <f t="shared" si="29"/>
        <v/>
      </c>
      <c r="K921" s="17" t="str">
        <f>IF(I921="","",MATCH($I921,Settings!$F$5:$F$46,0))</f>
        <v/>
      </c>
      <c r="L921" s="18"/>
    </row>
    <row r="922" spans="2:12" x14ac:dyDescent="0.25">
      <c r="B922" s="16"/>
      <c r="C922" s="17" t="str">
        <f>IF(B922="","",IF(AND($B922&gt;=Settings!$C$10,$B922&lt;=Settings!$C$11),"OK","ERROR"))</f>
        <v/>
      </c>
      <c r="D922" s="18"/>
      <c r="E922" s="5"/>
      <c r="F922" s="19"/>
      <c r="G922" s="20" t="str">
        <f t="shared" si="28"/>
        <v/>
      </c>
      <c r="H922" s="18"/>
      <c r="I922" s="5"/>
      <c r="J922" s="21" t="str">
        <f t="shared" si="29"/>
        <v/>
      </c>
      <c r="K922" s="17" t="str">
        <f>IF(I922="","",MATCH($I922,Settings!$F$5:$F$46,0))</f>
        <v/>
      </c>
      <c r="L922" s="18"/>
    </row>
    <row r="923" spans="2:12" x14ac:dyDescent="0.25">
      <c r="B923" s="16"/>
      <c r="C923" s="17" t="str">
        <f>IF(B923="","",IF(AND($B923&gt;=Settings!$C$10,$B923&lt;=Settings!$C$11),"OK","ERROR"))</f>
        <v/>
      </c>
      <c r="D923" s="18"/>
      <c r="E923" s="5"/>
      <c r="F923" s="19"/>
      <c r="G923" s="20" t="str">
        <f t="shared" si="28"/>
        <v/>
      </c>
      <c r="H923" s="18"/>
      <c r="I923" s="5"/>
      <c r="J923" s="21" t="str">
        <f t="shared" si="29"/>
        <v/>
      </c>
      <c r="K923" s="17" t="str">
        <f>IF(I923="","",MATCH($I923,Settings!$F$5:$F$46,0))</f>
        <v/>
      </c>
      <c r="L923" s="18"/>
    </row>
    <row r="924" spans="2:12" x14ac:dyDescent="0.25">
      <c r="B924" s="16"/>
      <c r="C924" s="17" t="str">
        <f>IF(B924="","",IF(AND($B924&gt;=Settings!$C$10,$B924&lt;=Settings!$C$11),"OK","ERROR"))</f>
        <v/>
      </c>
      <c r="D924" s="18"/>
      <c r="E924" s="5"/>
      <c r="F924" s="19"/>
      <c r="G924" s="20" t="str">
        <f t="shared" si="28"/>
        <v/>
      </c>
      <c r="H924" s="18"/>
      <c r="I924" s="5"/>
      <c r="J924" s="21" t="str">
        <f t="shared" si="29"/>
        <v/>
      </c>
      <c r="K924" s="17" t="str">
        <f>IF(I924="","",MATCH($I924,Settings!$F$5:$F$46,0))</f>
        <v/>
      </c>
      <c r="L924" s="18"/>
    </row>
    <row r="925" spans="2:12" x14ac:dyDescent="0.25">
      <c r="B925" s="16"/>
      <c r="C925" s="17" t="str">
        <f>IF(B925="","",IF(AND($B925&gt;=Settings!$C$10,$B925&lt;=Settings!$C$11),"OK","ERROR"))</f>
        <v/>
      </c>
      <c r="D925" s="18"/>
      <c r="E925" s="5"/>
      <c r="F925" s="19"/>
      <c r="G925" s="20" t="str">
        <f t="shared" si="28"/>
        <v/>
      </c>
      <c r="H925" s="18"/>
      <c r="I925" s="5"/>
      <c r="J925" s="21" t="str">
        <f t="shared" si="29"/>
        <v/>
      </c>
      <c r="K925" s="17" t="str">
        <f>IF(I925="","",MATCH($I925,Settings!$F$5:$F$46,0))</f>
        <v/>
      </c>
      <c r="L925" s="18"/>
    </row>
    <row r="926" spans="2:12" x14ac:dyDescent="0.25">
      <c r="B926" s="16"/>
      <c r="C926" s="17" t="str">
        <f>IF(B926="","",IF(AND($B926&gt;=Settings!$C$10,$B926&lt;=Settings!$C$11),"OK","ERROR"))</f>
        <v/>
      </c>
      <c r="D926" s="18"/>
      <c r="E926" s="5"/>
      <c r="F926" s="19"/>
      <c r="G926" s="20" t="str">
        <f t="shared" si="28"/>
        <v/>
      </c>
      <c r="H926" s="18"/>
      <c r="I926" s="5"/>
      <c r="J926" s="21" t="str">
        <f t="shared" si="29"/>
        <v/>
      </c>
      <c r="K926" s="17" t="str">
        <f>IF(I926="","",MATCH($I926,Settings!$F$5:$F$46,0))</f>
        <v/>
      </c>
      <c r="L926" s="18"/>
    </row>
    <row r="927" spans="2:12" x14ac:dyDescent="0.25">
      <c r="B927" s="16"/>
      <c r="C927" s="17" t="str">
        <f>IF(B927="","",IF(AND($B927&gt;=Settings!$C$10,$B927&lt;=Settings!$C$11),"OK","ERROR"))</f>
        <v/>
      </c>
      <c r="D927" s="18"/>
      <c r="E927" s="5"/>
      <c r="F927" s="19"/>
      <c r="G927" s="20" t="str">
        <f t="shared" si="28"/>
        <v/>
      </c>
      <c r="H927" s="18"/>
      <c r="I927" s="5"/>
      <c r="J927" s="21" t="str">
        <f t="shared" si="29"/>
        <v/>
      </c>
      <c r="K927" s="17" t="str">
        <f>IF(I927="","",MATCH($I927,Settings!$F$5:$F$46,0))</f>
        <v/>
      </c>
      <c r="L927" s="18"/>
    </row>
    <row r="928" spans="2:12" x14ac:dyDescent="0.25">
      <c r="B928" s="16"/>
      <c r="C928" s="17" t="str">
        <f>IF(B928="","",IF(AND($B928&gt;=Settings!$C$10,$B928&lt;=Settings!$C$11),"OK","ERROR"))</f>
        <v/>
      </c>
      <c r="D928" s="18"/>
      <c r="E928" s="5"/>
      <c r="F928" s="19"/>
      <c r="G928" s="20" t="str">
        <f t="shared" si="28"/>
        <v/>
      </c>
      <c r="H928" s="18"/>
      <c r="I928" s="5"/>
      <c r="J928" s="21" t="str">
        <f t="shared" si="29"/>
        <v/>
      </c>
      <c r="K928" s="17" t="str">
        <f>IF(I928="","",MATCH($I928,Settings!$F$5:$F$46,0))</f>
        <v/>
      </c>
      <c r="L928" s="18"/>
    </row>
    <row r="929" spans="2:12" x14ac:dyDescent="0.25">
      <c r="B929" s="16"/>
      <c r="C929" s="17" t="str">
        <f>IF(B929="","",IF(AND($B929&gt;=Settings!$C$10,$B929&lt;=Settings!$C$11),"OK","ERROR"))</f>
        <v/>
      </c>
      <c r="D929" s="18"/>
      <c r="E929" s="5"/>
      <c r="F929" s="19"/>
      <c r="G929" s="20" t="str">
        <f t="shared" si="28"/>
        <v/>
      </c>
      <c r="H929" s="18"/>
      <c r="I929" s="5"/>
      <c r="J929" s="21" t="str">
        <f t="shared" si="29"/>
        <v/>
      </c>
      <c r="K929" s="17" t="str">
        <f>IF(I929="","",MATCH($I929,Settings!$F$5:$F$46,0))</f>
        <v/>
      </c>
      <c r="L929" s="18"/>
    </row>
    <row r="930" spans="2:12" x14ac:dyDescent="0.25">
      <c r="B930" s="16"/>
      <c r="C930" s="17" t="str">
        <f>IF(B930="","",IF(AND($B930&gt;=Settings!$C$10,$B930&lt;=Settings!$C$11),"OK","ERROR"))</f>
        <v/>
      </c>
      <c r="D930" s="18"/>
      <c r="E930" s="5"/>
      <c r="F930" s="19"/>
      <c r="G930" s="20" t="str">
        <f t="shared" si="28"/>
        <v/>
      </c>
      <c r="H930" s="18"/>
      <c r="I930" s="5"/>
      <c r="J930" s="21" t="str">
        <f t="shared" si="29"/>
        <v/>
      </c>
      <c r="K930" s="17" t="str">
        <f>IF(I930="","",MATCH($I930,Settings!$F$5:$F$46,0))</f>
        <v/>
      </c>
      <c r="L930" s="18"/>
    </row>
    <row r="931" spans="2:12" x14ac:dyDescent="0.25">
      <c r="B931" s="16"/>
      <c r="C931" s="17" t="str">
        <f>IF(B931="","",IF(AND($B931&gt;=Settings!$C$10,$B931&lt;=Settings!$C$11),"OK","ERROR"))</f>
        <v/>
      </c>
      <c r="D931" s="18"/>
      <c r="E931" s="5"/>
      <c r="F931" s="19"/>
      <c r="G931" s="20" t="str">
        <f t="shared" si="28"/>
        <v/>
      </c>
      <c r="H931" s="18"/>
      <c r="I931" s="5"/>
      <c r="J931" s="21" t="str">
        <f t="shared" si="29"/>
        <v/>
      </c>
      <c r="K931" s="17" t="str">
        <f>IF(I931="","",MATCH($I931,Settings!$F$5:$F$46,0))</f>
        <v/>
      </c>
      <c r="L931" s="18"/>
    </row>
    <row r="932" spans="2:12" x14ac:dyDescent="0.25">
      <c r="B932" s="16"/>
      <c r="C932" s="17" t="str">
        <f>IF(B932="","",IF(AND($B932&gt;=Settings!$C$10,$B932&lt;=Settings!$C$11),"OK","ERROR"))</f>
        <v/>
      </c>
      <c r="D932" s="18"/>
      <c r="E932" s="5"/>
      <c r="F932" s="19"/>
      <c r="G932" s="20" t="str">
        <f t="shared" si="28"/>
        <v/>
      </c>
      <c r="H932" s="18"/>
      <c r="I932" s="5"/>
      <c r="J932" s="21" t="str">
        <f t="shared" si="29"/>
        <v/>
      </c>
      <c r="K932" s="17" t="str">
        <f>IF(I932="","",MATCH($I932,Settings!$F$5:$F$46,0))</f>
        <v/>
      </c>
      <c r="L932" s="18"/>
    </row>
    <row r="933" spans="2:12" x14ac:dyDescent="0.25">
      <c r="B933" s="16"/>
      <c r="C933" s="17" t="str">
        <f>IF(B933="","",IF(AND($B933&gt;=Settings!$C$10,$B933&lt;=Settings!$C$11),"OK","ERROR"))</f>
        <v/>
      </c>
      <c r="D933" s="18"/>
      <c r="E933" s="5"/>
      <c r="F933" s="19"/>
      <c r="G933" s="20" t="str">
        <f t="shared" si="28"/>
        <v/>
      </c>
      <c r="H933" s="18"/>
      <c r="I933" s="5"/>
      <c r="J933" s="21" t="str">
        <f t="shared" si="29"/>
        <v/>
      </c>
      <c r="K933" s="17" t="str">
        <f>IF(I933="","",MATCH($I933,Settings!$F$5:$F$46,0))</f>
        <v/>
      </c>
      <c r="L933" s="18"/>
    </row>
    <row r="934" spans="2:12" x14ac:dyDescent="0.25">
      <c r="B934" s="16"/>
      <c r="C934" s="17" t="str">
        <f>IF(B934="","",IF(AND($B934&gt;=Settings!$C$10,$B934&lt;=Settings!$C$11),"OK","ERROR"))</f>
        <v/>
      </c>
      <c r="D934" s="18"/>
      <c r="E934" s="5"/>
      <c r="F934" s="19"/>
      <c r="G934" s="20" t="str">
        <f t="shared" si="28"/>
        <v/>
      </c>
      <c r="H934" s="18"/>
      <c r="I934" s="5"/>
      <c r="J934" s="21" t="str">
        <f t="shared" si="29"/>
        <v/>
      </c>
      <c r="K934" s="17" t="str">
        <f>IF(I934="","",MATCH($I934,Settings!$F$5:$F$46,0))</f>
        <v/>
      </c>
      <c r="L934" s="18"/>
    </row>
    <row r="935" spans="2:12" x14ac:dyDescent="0.25">
      <c r="B935" s="16"/>
      <c r="C935" s="17" t="str">
        <f>IF(B935="","",IF(AND($B935&gt;=Settings!$C$10,$B935&lt;=Settings!$C$11),"OK","ERROR"))</f>
        <v/>
      </c>
      <c r="D935" s="18"/>
      <c r="E935" s="5"/>
      <c r="F935" s="19"/>
      <c r="G935" s="20" t="str">
        <f t="shared" si="28"/>
        <v/>
      </c>
      <c r="H935" s="18"/>
      <c r="I935" s="5"/>
      <c r="J935" s="21" t="str">
        <f t="shared" si="29"/>
        <v/>
      </c>
      <c r="K935" s="17" t="str">
        <f>IF(I935="","",MATCH($I935,Settings!$F$5:$F$46,0))</f>
        <v/>
      </c>
      <c r="L935" s="18"/>
    </row>
    <row r="936" spans="2:12" x14ac:dyDescent="0.25">
      <c r="B936" s="16"/>
      <c r="C936" s="17" t="str">
        <f>IF(B936="","",IF(AND($B936&gt;=Settings!$C$10,$B936&lt;=Settings!$C$11),"OK","ERROR"))</f>
        <v/>
      </c>
      <c r="D936" s="18"/>
      <c r="E936" s="5"/>
      <c r="F936" s="19"/>
      <c r="G936" s="20" t="str">
        <f t="shared" si="28"/>
        <v/>
      </c>
      <c r="H936" s="18"/>
      <c r="I936" s="5"/>
      <c r="J936" s="21" t="str">
        <f t="shared" si="29"/>
        <v/>
      </c>
      <c r="K936" s="17" t="str">
        <f>IF(I936="","",MATCH($I936,Settings!$F$5:$F$46,0))</f>
        <v/>
      </c>
      <c r="L936" s="18"/>
    </row>
    <row r="937" spans="2:12" x14ac:dyDescent="0.25">
      <c r="B937" s="16"/>
      <c r="C937" s="17" t="str">
        <f>IF(B937="","",IF(AND($B937&gt;=Settings!$C$10,$B937&lt;=Settings!$C$11),"OK","ERROR"))</f>
        <v/>
      </c>
      <c r="D937" s="18"/>
      <c r="E937" s="5"/>
      <c r="F937" s="19"/>
      <c r="G937" s="20" t="str">
        <f t="shared" si="28"/>
        <v/>
      </c>
      <c r="H937" s="18"/>
      <c r="I937" s="5"/>
      <c r="J937" s="21" t="str">
        <f t="shared" si="29"/>
        <v/>
      </c>
      <c r="K937" s="17" t="str">
        <f>IF(I937="","",MATCH($I937,Settings!$F$5:$F$46,0))</f>
        <v/>
      </c>
      <c r="L937" s="18"/>
    </row>
    <row r="938" spans="2:12" x14ac:dyDescent="0.25">
      <c r="B938" s="16"/>
      <c r="C938" s="17" t="str">
        <f>IF(B938="","",IF(AND($B938&gt;=Settings!$C$10,$B938&lt;=Settings!$C$11),"OK","ERROR"))</f>
        <v/>
      </c>
      <c r="D938" s="18"/>
      <c r="E938" s="5"/>
      <c r="F938" s="19"/>
      <c r="G938" s="20" t="str">
        <f t="shared" si="28"/>
        <v/>
      </c>
      <c r="H938" s="18"/>
      <c r="I938" s="5"/>
      <c r="J938" s="21" t="str">
        <f t="shared" si="29"/>
        <v/>
      </c>
      <c r="K938" s="17" t="str">
        <f>IF(I938="","",MATCH($I938,Settings!$F$5:$F$46,0))</f>
        <v/>
      </c>
      <c r="L938" s="18"/>
    </row>
    <row r="939" spans="2:12" x14ac:dyDescent="0.25">
      <c r="B939" s="16"/>
      <c r="C939" s="17" t="str">
        <f>IF(B939="","",IF(AND($B939&gt;=Settings!$C$10,$B939&lt;=Settings!$C$11),"OK","ERROR"))</f>
        <v/>
      </c>
      <c r="D939" s="18"/>
      <c r="E939" s="5"/>
      <c r="F939" s="19"/>
      <c r="G939" s="20" t="str">
        <f t="shared" si="28"/>
        <v/>
      </c>
      <c r="H939" s="18"/>
      <c r="I939" s="5"/>
      <c r="J939" s="21" t="str">
        <f t="shared" si="29"/>
        <v/>
      </c>
      <c r="K939" s="17" t="str">
        <f>IF(I939="","",MATCH($I939,Settings!$F$5:$F$46,0))</f>
        <v/>
      </c>
      <c r="L939" s="18"/>
    </row>
    <row r="940" spans="2:12" x14ac:dyDescent="0.25">
      <c r="B940" s="16"/>
      <c r="C940" s="17" t="str">
        <f>IF(B940="","",IF(AND($B940&gt;=Settings!$C$10,$B940&lt;=Settings!$C$11),"OK","ERROR"))</f>
        <v/>
      </c>
      <c r="D940" s="18"/>
      <c r="E940" s="5"/>
      <c r="F940" s="19"/>
      <c r="G940" s="20" t="str">
        <f t="shared" si="28"/>
        <v/>
      </c>
      <c r="H940" s="18"/>
      <c r="I940" s="5"/>
      <c r="J940" s="21" t="str">
        <f t="shared" si="29"/>
        <v/>
      </c>
      <c r="K940" s="17" t="str">
        <f>IF(I940="","",MATCH($I940,Settings!$F$5:$F$46,0))</f>
        <v/>
      </c>
      <c r="L940" s="18"/>
    </row>
    <row r="941" spans="2:12" x14ac:dyDescent="0.25">
      <c r="B941" s="16"/>
      <c r="C941" s="17" t="str">
        <f>IF(B941="","",IF(AND($B941&gt;=Settings!$C$10,$B941&lt;=Settings!$C$11),"OK","ERROR"))</f>
        <v/>
      </c>
      <c r="D941" s="18"/>
      <c r="E941" s="5"/>
      <c r="F941" s="19"/>
      <c r="G941" s="20" t="str">
        <f t="shared" si="28"/>
        <v/>
      </c>
      <c r="H941" s="18"/>
      <c r="I941" s="5"/>
      <c r="J941" s="21" t="str">
        <f t="shared" si="29"/>
        <v/>
      </c>
      <c r="K941" s="17" t="str">
        <f>IF(I941="","",MATCH($I941,Settings!$F$5:$F$46,0))</f>
        <v/>
      </c>
      <c r="L941" s="18"/>
    </row>
    <row r="942" spans="2:12" x14ac:dyDescent="0.25">
      <c r="B942" s="16"/>
      <c r="C942" s="17" t="str">
        <f>IF(B942="","",IF(AND($B942&gt;=Settings!$C$10,$B942&lt;=Settings!$C$11),"OK","ERROR"))</f>
        <v/>
      </c>
      <c r="D942" s="18"/>
      <c r="E942" s="5"/>
      <c r="F942" s="19"/>
      <c r="G942" s="20" t="str">
        <f t="shared" si="28"/>
        <v/>
      </c>
      <c r="H942" s="18"/>
      <c r="I942" s="5"/>
      <c r="J942" s="21" t="str">
        <f t="shared" si="29"/>
        <v/>
      </c>
      <c r="K942" s="17" t="str">
        <f>IF(I942="","",MATCH($I942,Settings!$F$5:$F$46,0))</f>
        <v/>
      </c>
      <c r="L942" s="18"/>
    </row>
    <row r="943" spans="2:12" x14ac:dyDescent="0.25">
      <c r="B943" s="16"/>
      <c r="C943" s="17" t="str">
        <f>IF(B943="","",IF(AND($B943&gt;=Settings!$C$10,$B943&lt;=Settings!$C$11),"OK","ERROR"))</f>
        <v/>
      </c>
      <c r="D943" s="18"/>
      <c r="E943" s="5"/>
      <c r="F943" s="19"/>
      <c r="G943" s="20" t="str">
        <f t="shared" si="28"/>
        <v/>
      </c>
      <c r="H943" s="18"/>
      <c r="I943" s="5"/>
      <c r="J943" s="21" t="str">
        <f t="shared" si="29"/>
        <v/>
      </c>
      <c r="K943" s="17" t="str">
        <f>IF(I943="","",MATCH($I943,Settings!$F$5:$F$46,0))</f>
        <v/>
      </c>
      <c r="L943" s="18"/>
    </row>
    <row r="944" spans="2:12" x14ac:dyDescent="0.25">
      <c r="B944" s="16"/>
      <c r="C944" s="17" t="str">
        <f>IF(B944="","",IF(AND($B944&gt;=Settings!$C$10,$B944&lt;=Settings!$C$11),"OK","ERROR"))</f>
        <v/>
      </c>
      <c r="D944" s="18"/>
      <c r="E944" s="5"/>
      <c r="F944" s="19"/>
      <c r="G944" s="20" t="str">
        <f t="shared" si="28"/>
        <v/>
      </c>
      <c r="H944" s="18"/>
      <c r="I944" s="5"/>
      <c r="J944" s="21" t="str">
        <f t="shared" si="29"/>
        <v/>
      </c>
      <c r="K944" s="17" t="str">
        <f>IF(I944="","",MATCH($I944,Settings!$F$5:$F$46,0))</f>
        <v/>
      </c>
      <c r="L944" s="18"/>
    </row>
    <row r="945" spans="2:12" x14ac:dyDescent="0.25">
      <c r="B945" s="16"/>
      <c r="C945" s="17" t="str">
        <f>IF(B945="","",IF(AND($B945&gt;=Settings!$C$10,$B945&lt;=Settings!$C$11),"OK","ERROR"))</f>
        <v/>
      </c>
      <c r="D945" s="18"/>
      <c r="E945" s="5"/>
      <c r="F945" s="19"/>
      <c r="G945" s="20" t="str">
        <f t="shared" si="28"/>
        <v/>
      </c>
      <c r="H945" s="18"/>
      <c r="I945" s="5"/>
      <c r="J945" s="21" t="str">
        <f t="shared" si="29"/>
        <v/>
      </c>
      <c r="K945" s="17" t="str">
        <f>IF(I945="","",MATCH($I945,Settings!$F$5:$F$46,0))</f>
        <v/>
      </c>
      <c r="L945" s="18"/>
    </row>
    <row r="946" spans="2:12" x14ac:dyDescent="0.25">
      <c r="B946" s="16"/>
      <c r="C946" s="17" t="str">
        <f>IF(B946="","",IF(AND($B946&gt;=Settings!$C$10,$B946&lt;=Settings!$C$11),"OK","ERROR"))</f>
        <v/>
      </c>
      <c r="D946" s="18"/>
      <c r="E946" s="5"/>
      <c r="F946" s="19"/>
      <c r="G946" s="20" t="str">
        <f t="shared" si="28"/>
        <v/>
      </c>
      <c r="H946" s="18"/>
      <c r="I946" s="5"/>
      <c r="J946" s="21" t="str">
        <f t="shared" si="29"/>
        <v/>
      </c>
      <c r="K946" s="17" t="str">
        <f>IF(I946="","",MATCH($I946,Settings!$F$5:$F$46,0))</f>
        <v/>
      </c>
      <c r="L946" s="18"/>
    </row>
    <row r="947" spans="2:12" x14ac:dyDescent="0.25">
      <c r="B947" s="16"/>
      <c r="C947" s="17" t="str">
        <f>IF(B947="","",IF(AND($B947&gt;=Settings!$C$10,$B947&lt;=Settings!$C$11),"OK","ERROR"))</f>
        <v/>
      </c>
      <c r="D947" s="18"/>
      <c r="E947" s="5"/>
      <c r="F947" s="19"/>
      <c r="G947" s="20" t="str">
        <f t="shared" si="28"/>
        <v/>
      </c>
      <c r="H947" s="18"/>
      <c r="I947" s="5"/>
      <c r="J947" s="21" t="str">
        <f t="shared" si="29"/>
        <v/>
      </c>
      <c r="K947" s="17" t="str">
        <f>IF(I947="","",MATCH($I947,Settings!$F$5:$F$46,0))</f>
        <v/>
      </c>
      <c r="L947" s="18"/>
    </row>
    <row r="948" spans="2:12" x14ac:dyDescent="0.25">
      <c r="B948" s="16"/>
      <c r="C948" s="17" t="str">
        <f>IF(B948="","",IF(AND($B948&gt;=Settings!$C$10,$B948&lt;=Settings!$C$11),"OK","ERROR"))</f>
        <v/>
      </c>
      <c r="D948" s="18"/>
      <c r="E948" s="5"/>
      <c r="F948" s="19"/>
      <c r="G948" s="20" t="str">
        <f t="shared" si="28"/>
        <v/>
      </c>
      <c r="H948" s="18"/>
      <c r="I948" s="5"/>
      <c r="J948" s="21" t="str">
        <f t="shared" si="29"/>
        <v/>
      </c>
      <c r="K948" s="17" t="str">
        <f>IF(I948="","",MATCH($I948,Settings!$F$5:$F$46,0))</f>
        <v/>
      </c>
      <c r="L948" s="18"/>
    </row>
    <row r="949" spans="2:12" x14ac:dyDescent="0.25">
      <c r="B949" s="16"/>
      <c r="C949" s="17" t="str">
        <f>IF(B949="","",IF(AND($B949&gt;=Settings!$C$10,$B949&lt;=Settings!$C$11),"OK","ERROR"))</f>
        <v/>
      </c>
      <c r="D949" s="18"/>
      <c r="E949" s="5"/>
      <c r="F949" s="19"/>
      <c r="G949" s="20" t="str">
        <f t="shared" si="28"/>
        <v/>
      </c>
      <c r="H949" s="18"/>
      <c r="I949" s="5"/>
      <c r="J949" s="21" t="str">
        <f t="shared" si="29"/>
        <v/>
      </c>
      <c r="K949" s="17" t="str">
        <f>IF(I949="","",MATCH($I949,Settings!$F$5:$F$46,0))</f>
        <v/>
      </c>
      <c r="L949" s="18"/>
    </row>
    <row r="950" spans="2:12" x14ac:dyDescent="0.25">
      <c r="B950" s="16"/>
      <c r="C950" s="17" t="str">
        <f>IF(B950="","",IF(AND($B950&gt;=Settings!$C$10,$B950&lt;=Settings!$C$11),"OK","ERROR"))</f>
        <v/>
      </c>
      <c r="D950" s="18"/>
      <c r="E950" s="5"/>
      <c r="F950" s="19"/>
      <c r="G950" s="20" t="str">
        <f t="shared" si="28"/>
        <v/>
      </c>
      <c r="H950" s="18"/>
      <c r="I950" s="5"/>
      <c r="J950" s="21" t="str">
        <f t="shared" si="29"/>
        <v/>
      </c>
      <c r="K950" s="17" t="str">
        <f>IF(I950="","",MATCH($I950,Settings!$F$5:$F$46,0))</f>
        <v/>
      </c>
      <c r="L950" s="18"/>
    </row>
    <row r="951" spans="2:12" x14ac:dyDescent="0.25">
      <c r="B951" s="16"/>
      <c r="C951" s="17" t="str">
        <f>IF(B951="","",IF(AND($B951&gt;=Settings!$C$10,$B951&lt;=Settings!$C$11),"OK","ERROR"))</f>
        <v/>
      </c>
      <c r="D951" s="18"/>
      <c r="E951" s="5"/>
      <c r="F951" s="19"/>
      <c r="G951" s="20" t="str">
        <f t="shared" si="28"/>
        <v/>
      </c>
      <c r="H951" s="18"/>
      <c r="I951" s="5"/>
      <c r="J951" s="21" t="str">
        <f t="shared" si="29"/>
        <v/>
      </c>
      <c r="K951" s="17" t="str">
        <f>IF(I951="","",MATCH($I951,Settings!$F$5:$F$46,0))</f>
        <v/>
      </c>
      <c r="L951" s="18"/>
    </row>
    <row r="952" spans="2:12" x14ac:dyDescent="0.25">
      <c r="B952" s="16"/>
      <c r="C952" s="17" t="str">
        <f>IF(B952="","",IF(AND($B952&gt;=Settings!$C$10,$B952&lt;=Settings!$C$11),"OK","ERROR"))</f>
        <v/>
      </c>
      <c r="D952" s="18"/>
      <c r="E952" s="5"/>
      <c r="F952" s="19"/>
      <c r="G952" s="20" t="str">
        <f t="shared" si="28"/>
        <v/>
      </c>
      <c r="H952" s="18"/>
      <c r="I952" s="5"/>
      <c r="J952" s="21" t="str">
        <f t="shared" si="29"/>
        <v/>
      </c>
      <c r="K952" s="17" t="str">
        <f>IF(I952="","",MATCH($I952,Settings!$F$5:$F$46,0))</f>
        <v/>
      </c>
      <c r="L952" s="18"/>
    </row>
    <row r="953" spans="2:12" x14ac:dyDescent="0.25">
      <c r="B953" s="16"/>
      <c r="C953" s="17" t="str">
        <f>IF(B953="","",IF(AND($B953&gt;=Settings!$C$10,$B953&lt;=Settings!$C$11),"OK","ERROR"))</f>
        <v/>
      </c>
      <c r="D953" s="18"/>
      <c r="E953" s="5"/>
      <c r="F953" s="19"/>
      <c r="G953" s="20" t="str">
        <f t="shared" si="28"/>
        <v/>
      </c>
      <c r="H953" s="18"/>
      <c r="I953" s="5"/>
      <c r="J953" s="21" t="str">
        <f t="shared" si="29"/>
        <v/>
      </c>
      <c r="K953" s="17" t="str">
        <f>IF(I953="","",MATCH($I953,Settings!$F$5:$F$46,0))</f>
        <v/>
      </c>
      <c r="L953" s="18"/>
    </row>
    <row r="954" spans="2:12" x14ac:dyDescent="0.25">
      <c r="B954" s="16"/>
      <c r="C954" s="17" t="str">
        <f>IF(B954="","",IF(AND($B954&gt;=Settings!$C$10,$B954&lt;=Settings!$C$11),"OK","ERROR"))</f>
        <v/>
      </c>
      <c r="D954" s="18"/>
      <c r="E954" s="5"/>
      <c r="F954" s="19"/>
      <c r="G954" s="20" t="str">
        <f t="shared" si="28"/>
        <v/>
      </c>
      <c r="H954" s="18"/>
      <c r="I954" s="5"/>
      <c r="J954" s="21" t="str">
        <f t="shared" si="29"/>
        <v/>
      </c>
      <c r="K954" s="17" t="str">
        <f>IF(I954="","",MATCH($I954,Settings!$F$5:$F$46,0))</f>
        <v/>
      </c>
      <c r="L954" s="18"/>
    </row>
    <row r="955" spans="2:12" x14ac:dyDescent="0.25">
      <c r="B955" s="16"/>
      <c r="C955" s="17" t="str">
        <f>IF(B955="","",IF(AND($B955&gt;=Settings!$C$10,$B955&lt;=Settings!$C$11),"OK","ERROR"))</f>
        <v/>
      </c>
      <c r="D955" s="18"/>
      <c r="E955" s="5"/>
      <c r="F955" s="19"/>
      <c r="G955" s="20" t="str">
        <f t="shared" si="28"/>
        <v/>
      </c>
      <c r="H955" s="18"/>
      <c r="I955" s="5"/>
      <c r="J955" s="21" t="str">
        <f t="shared" si="29"/>
        <v/>
      </c>
      <c r="K955" s="17" t="str">
        <f>IF(I955="","",MATCH($I955,Settings!$F$5:$F$46,0))</f>
        <v/>
      </c>
      <c r="L955" s="18"/>
    </row>
    <row r="956" spans="2:12" x14ac:dyDescent="0.25">
      <c r="B956" s="16"/>
      <c r="C956" s="17" t="str">
        <f>IF(B956="","",IF(AND($B956&gt;=Settings!$C$10,$B956&lt;=Settings!$C$11),"OK","ERROR"))</f>
        <v/>
      </c>
      <c r="D956" s="18"/>
      <c r="E956" s="5"/>
      <c r="F956" s="19"/>
      <c r="G956" s="20" t="str">
        <f t="shared" si="28"/>
        <v/>
      </c>
      <c r="H956" s="18"/>
      <c r="I956" s="5"/>
      <c r="J956" s="21" t="str">
        <f t="shared" si="29"/>
        <v/>
      </c>
      <c r="K956" s="17" t="str">
        <f>IF(I956="","",MATCH($I956,Settings!$F$5:$F$46,0))</f>
        <v/>
      </c>
      <c r="L956" s="18"/>
    </row>
    <row r="957" spans="2:12" x14ac:dyDescent="0.25">
      <c r="B957" s="16"/>
      <c r="C957" s="17" t="str">
        <f>IF(B957="","",IF(AND($B957&gt;=Settings!$C$10,$B957&lt;=Settings!$C$11),"OK","ERROR"))</f>
        <v/>
      </c>
      <c r="D957" s="18"/>
      <c r="E957" s="5"/>
      <c r="F957" s="19"/>
      <c r="G957" s="20" t="str">
        <f t="shared" si="28"/>
        <v/>
      </c>
      <c r="H957" s="18"/>
      <c r="I957" s="5"/>
      <c r="J957" s="21" t="str">
        <f t="shared" si="29"/>
        <v/>
      </c>
      <c r="K957" s="17" t="str">
        <f>IF(I957="","",MATCH($I957,Settings!$F$5:$F$46,0))</f>
        <v/>
      </c>
      <c r="L957" s="18"/>
    </row>
    <row r="958" spans="2:12" x14ac:dyDescent="0.25">
      <c r="B958" s="16"/>
      <c r="C958" s="17" t="str">
        <f>IF(B958="","",IF(AND($B958&gt;=Settings!$C$10,$B958&lt;=Settings!$C$11),"OK","ERROR"))</f>
        <v/>
      </c>
      <c r="D958" s="18"/>
      <c r="E958" s="5"/>
      <c r="F958" s="19"/>
      <c r="G958" s="20" t="str">
        <f t="shared" si="28"/>
        <v/>
      </c>
      <c r="H958" s="18"/>
      <c r="I958" s="5"/>
      <c r="J958" s="21" t="str">
        <f t="shared" si="29"/>
        <v/>
      </c>
      <c r="K958" s="17" t="str">
        <f>IF(I958="","",MATCH($I958,Settings!$F$5:$F$46,0))</f>
        <v/>
      </c>
      <c r="L958" s="18"/>
    </row>
    <row r="959" spans="2:12" x14ac:dyDescent="0.25">
      <c r="B959" s="16"/>
      <c r="C959" s="17" t="str">
        <f>IF(B959="","",IF(AND($B959&gt;=Settings!$C$10,$B959&lt;=Settings!$C$11),"OK","ERROR"))</f>
        <v/>
      </c>
      <c r="D959" s="18"/>
      <c r="E959" s="5"/>
      <c r="F959" s="19"/>
      <c r="G959" s="20" t="str">
        <f t="shared" si="28"/>
        <v/>
      </c>
      <c r="H959" s="18"/>
      <c r="I959" s="5"/>
      <c r="J959" s="21" t="str">
        <f t="shared" si="29"/>
        <v/>
      </c>
      <c r="K959" s="17" t="str">
        <f>IF(I959="","",MATCH($I959,Settings!$F$5:$F$46,0))</f>
        <v/>
      </c>
      <c r="L959" s="18"/>
    </row>
    <row r="960" spans="2:12" x14ac:dyDescent="0.25">
      <c r="B960" s="16"/>
      <c r="C960" s="17" t="str">
        <f>IF(B960="","",IF(AND($B960&gt;=Settings!$C$10,$B960&lt;=Settings!$C$11),"OK","ERROR"))</f>
        <v/>
      </c>
      <c r="D960" s="18"/>
      <c r="E960" s="5"/>
      <c r="F960" s="19"/>
      <c r="G960" s="20" t="str">
        <f t="shared" si="28"/>
        <v/>
      </c>
      <c r="H960" s="18"/>
      <c r="I960" s="5"/>
      <c r="J960" s="21" t="str">
        <f t="shared" si="29"/>
        <v/>
      </c>
      <c r="K960" s="17" t="str">
        <f>IF(I960="","",MATCH($I960,Settings!$F$5:$F$46,0))</f>
        <v/>
      </c>
      <c r="L960" s="18"/>
    </row>
    <row r="961" spans="2:12" x14ac:dyDescent="0.25">
      <c r="B961" s="16"/>
      <c r="C961" s="17" t="str">
        <f>IF(B961="","",IF(AND($B961&gt;=Settings!$C$10,$B961&lt;=Settings!$C$11),"OK","ERROR"))</f>
        <v/>
      </c>
      <c r="D961" s="18"/>
      <c r="E961" s="5"/>
      <c r="F961" s="19"/>
      <c r="G961" s="20" t="str">
        <f t="shared" si="28"/>
        <v/>
      </c>
      <c r="H961" s="18"/>
      <c r="I961" s="5"/>
      <c r="J961" s="21" t="str">
        <f t="shared" si="29"/>
        <v/>
      </c>
      <c r="K961" s="17" t="str">
        <f>IF(I961="","",MATCH($I961,Settings!$F$5:$F$46,0))</f>
        <v/>
      </c>
      <c r="L961" s="18"/>
    </row>
    <row r="962" spans="2:12" x14ac:dyDescent="0.25">
      <c r="B962" s="16"/>
      <c r="C962" s="17" t="str">
        <f>IF(B962="","",IF(AND($B962&gt;=Settings!$C$10,$B962&lt;=Settings!$C$11),"OK","ERROR"))</f>
        <v/>
      </c>
      <c r="D962" s="18"/>
      <c r="E962" s="5"/>
      <c r="F962" s="19"/>
      <c r="G962" s="20" t="str">
        <f t="shared" si="28"/>
        <v/>
      </c>
      <c r="H962" s="18"/>
      <c r="I962" s="5"/>
      <c r="J962" s="21" t="str">
        <f t="shared" si="29"/>
        <v/>
      </c>
      <c r="K962" s="17" t="str">
        <f>IF(I962="","",MATCH($I962,Settings!$F$5:$F$46,0))</f>
        <v/>
      </c>
      <c r="L962" s="18"/>
    </row>
    <row r="963" spans="2:12" x14ac:dyDescent="0.25">
      <c r="B963" s="16"/>
      <c r="C963" s="17" t="str">
        <f>IF(B963="","",IF(AND($B963&gt;=Settings!$C$10,$B963&lt;=Settings!$C$11),"OK","ERROR"))</f>
        <v/>
      </c>
      <c r="D963" s="18"/>
      <c r="E963" s="5"/>
      <c r="F963" s="19"/>
      <c r="G963" s="20" t="str">
        <f t="shared" si="28"/>
        <v/>
      </c>
      <c r="H963" s="18"/>
      <c r="I963" s="5"/>
      <c r="J963" s="21" t="str">
        <f t="shared" si="29"/>
        <v/>
      </c>
      <c r="K963" s="17" t="str">
        <f>IF(I963="","",MATCH($I963,Settings!$F$5:$F$46,0))</f>
        <v/>
      </c>
      <c r="L963" s="18"/>
    </row>
    <row r="964" spans="2:12" x14ac:dyDescent="0.25">
      <c r="B964" s="16"/>
      <c r="C964" s="17" t="str">
        <f>IF(B964="","",IF(AND($B964&gt;=Settings!$C$10,$B964&lt;=Settings!$C$11),"OK","ERROR"))</f>
        <v/>
      </c>
      <c r="D964" s="18"/>
      <c r="E964" s="5"/>
      <c r="F964" s="19"/>
      <c r="G964" s="20" t="str">
        <f t="shared" si="28"/>
        <v/>
      </c>
      <c r="H964" s="18"/>
      <c r="I964" s="5"/>
      <c r="J964" s="21" t="str">
        <f t="shared" si="29"/>
        <v/>
      </c>
      <c r="K964" s="17" t="str">
        <f>IF(I964="","",MATCH($I964,Settings!$F$5:$F$46,0))</f>
        <v/>
      </c>
      <c r="L964" s="18"/>
    </row>
    <row r="965" spans="2:12" x14ac:dyDescent="0.25">
      <c r="B965" s="16"/>
      <c r="C965" s="17" t="str">
        <f>IF(B965="","",IF(AND($B965&gt;=Settings!$C$10,$B965&lt;=Settings!$C$11),"OK","ERROR"))</f>
        <v/>
      </c>
      <c r="D965" s="18"/>
      <c r="E965" s="5"/>
      <c r="F965" s="19"/>
      <c r="G965" s="20" t="str">
        <f t="shared" si="28"/>
        <v/>
      </c>
      <c r="H965" s="18"/>
      <c r="I965" s="5"/>
      <c r="J965" s="21" t="str">
        <f t="shared" si="29"/>
        <v/>
      </c>
      <c r="K965" s="17" t="str">
        <f>IF(I965="","",MATCH($I965,Settings!$F$5:$F$46,0))</f>
        <v/>
      </c>
      <c r="L965" s="18"/>
    </row>
    <row r="966" spans="2:12" x14ac:dyDescent="0.25">
      <c r="B966" s="16"/>
      <c r="C966" s="17" t="str">
        <f>IF(B966="","",IF(AND($B966&gt;=Settings!$C$10,$B966&lt;=Settings!$C$11),"OK","ERROR"))</f>
        <v/>
      </c>
      <c r="D966" s="18"/>
      <c r="E966" s="5"/>
      <c r="F966" s="19"/>
      <c r="G966" s="20" t="str">
        <f t="shared" ref="G966:G1005" si="30">IF(F966="","",IF(I966&lt;&gt;"","OK","ERROR"))</f>
        <v/>
      </c>
      <c r="H966" s="18"/>
      <c r="I966" s="5"/>
      <c r="J966" s="21" t="str">
        <f t="shared" si="29"/>
        <v/>
      </c>
      <c r="K966" s="17" t="str">
        <f>IF(I966="","",MATCH($I966,Settings!$F$5:$F$46,0))</f>
        <v/>
      </c>
      <c r="L966" s="18"/>
    </row>
    <row r="967" spans="2:12" x14ac:dyDescent="0.25">
      <c r="B967" s="16"/>
      <c r="C967" s="17" t="str">
        <f>IF(B967="","",IF(AND($B967&gt;=Settings!$C$10,$B967&lt;=Settings!$C$11),"OK","ERROR"))</f>
        <v/>
      </c>
      <c r="D967" s="18"/>
      <c r="E967" s="5"/>
      <c r="F967" s="19"/>
      <c r="G967" s="20" t="str">
        <f t="shared" si="30"/>
        <v/>
      </c>
      <c r="H967" s="18"/>
      <c r="I967" s="5"/>
      <c r="J967" s="21" t="str">
        <f t="shared" ref="J967:J1005" si="31">IF(I967="","",IF(ISERROR($K967)=TRUE,"ERROR","OK"))</f>
        <v/>
      </c>
      <c r="K967" s="17" t="str">
        <f>IF(I967="","",MATCH($I967,Settings!$F$5:$F$46,0))</f>
        <v/>
      </c>
      <c r="L967" s="18"/>
    </row>
    <row r="968" spans="2:12" x14ac:dyDescent="0.25">
      <c r="B968" s="16"/>
      <c r="C968" s="17" t="str">
        <f>IF(B968="","",IF(AND($B968&gt;=Settings!$C$10,$B968&lt;=Settings!$C$11),"OK","ERROR"))</f>
        <v/>
      </c>
      <c r="D968" s="18"/>
      <c r="E968" s="5"/>
      <c r="F968" s="19"/>
      <c r="G968" s="20" t="str">
        <f t="shared" si="30"/>
        <v/>
      </c>
      <c r="H968" s="18"/>
      <c r="I968" s="5"/>
      <c r="J968" s="21" t="str">
        <f t="shared" si="31"/>
        <v/>
      </c>
      <c r="K968" s="17" t="str">
        <f>IF(I968="","",MATCH($I968,Settings!$F$5:$F$46,0))</f>
        <v/>
      </c>
      <c r="L968" s="18"/>
    </row>
    <row r="969" spans="2:12" x14ac:dyDescent="0.25">
      <c r="B969" s="16"/>
      <c r="C969" s="17" t="str">
        <f>IF(B969="","",IF(AND($B969&gt;=Settings!$C$10,$B969&lt;=Settings!$C$11),"OK","ERROR"))</f>
        <v/>
      </c>
      <c r="D969" s="18"/>
      <c r="E969" s="5"/>
      <c r="F969" s="19"/>
      <c r="G969" s="20" t="str">
        <f t="shared" si="30"/>
        <v/>
      </c>
      <c r="H969" s="18"/>
      <c r="I969" s="5"/>
      <c r="J969" s="21" t="str">
        <f t="shared" si="31"/>
        <v/>
      </c>
      <c r="K969" s="17" t="str">
        <f>IF(I969="","",MATCH($I969,Settings!$F$5:$F$46,0))</f>
        <v/>
      </c>
      <c r="L969" s="18"/>
    </row>
    <row r="970" spans="2:12" x14ac:dyDescent="0.25">
      <c r="B970" s="16"/>
      <c r="C970" s="17" t="str">
        <f>IF(B970="","",IF(AND($B970&gt;=Settings!$C$10,$B970&lt;=Settings!$C$11),"OK","ERROR"))</f>
        <v/>
      </c>
      <c r="D970" s="18"/>
      <c r="E970" s="5"/>
      <c r="F970" s="19"/>
      <c r="G970" s="20" t="str">
        <f t="shared" si="30"/>
        <v/>
      </c>
      <c r="H970" s="18"/>
      <c r="I970" s="5"/>
      <c r="J970" s="21" t="str">
        <f t="shared" si="31"/>
        <v/>
      </c>
      <c r="K970" s="17" t="str">
        <f>IF(I970="","",MATCH($I970,Settings!$F$5:$F$46,0))</f>
        <v/>
      </c>
      <c r="L970" s="18"/>
    </row>
    <row r="971" spans="2:12" x14ac:dyDescent="0.25">
      <c r="B971" s="16"/>
      <c r="C971" s="17" t="str">
        <f>IF(B971="","",IF(AND($B971&gt;=Settings!$C$10,$B971&lt;=Settings!$C$11),"OK","ERROR"))</f>
        <v/>
      </c>
      <c r="D971" s="18"/>
      <c r="E971" s="5"/>
      <c r="F971" s="19"/>
      <c r="G971" s="20" t="str">
        <f t="shared" si="30"/>
        <v/>
      </c>
      <c r="H971" s="18"/>
      <c r="I971" s="5"/>
      <c r="J971" s="21" t="str">
        <f t="shared" si="31"/>
        <v/>
      </c>
      <c r="K971" s="17" t="str">
        <f>IF(I971="","",MATCH($I971,Settings!$F$5:$F$46,0))</f>
        <v/>
      </c>
      <c r="L971" s="18"/>
    </row>
    <row r="972" spans="2:12" x14ac:dyDescent="0.25">
      <c r="B972" s="16"/>
      <c r="C972" s="17" t="str">
        <f>IF(B972="","",IF(AND($B972&gt;=Settings!$C$10,$B972&lt;=Settings!$C$11),"OK","ERROR"))</f>
        <v/>
      </c>
      <c r="D972" s="18"/>
      <c r="E972" s="5"/>
      <c r="F972" s="19"/>
      <c r="G972" s="20" t="str">
        <f t="shared" si="30"/>
        <v/>
      </c>
      <c r="H972" s="18"/>
      <c r="I972" s="5"/>
      <c r="J972" s="21" t="str">
        <f t="shared" si="31"/>
        <v/>
      </c>
      <c r="K972" s="17" t="str">
        <f>IF(I972="","",MATCH($I972,Settings!$F$5:$F$46,0))</f>
        <v/>
      </c>
      <c r="L972" s="18"/>
    </row>
    <row r="973" spans="2:12" x14ac:dyDescent="0.25">
      <c r="B973" s="16"/>
      <c r="C973" s="17" t="str">
        <f>IF(B973="","",IF(AND($B973&gt;=Settings!$C$10,$B973&lt;=Settings!$C$11),"OK","ERROR"))</f>
        <v/>
      </c>
      <c r="D973" s="18"/>
      <c r="E973" s="5"/>
      <c r="F973" s="19"/>
      <c r="G973" s="20" t="str">
        <f t="shared" si="30"/>
        <v/>
      </c>
      <c r="H973" s="18"/>
      <c r="I973" s="5"/>
      <c r="J973" s="21" t="str">
        <f t="shared" si="31"/>
        <v/>
      </c>
      <c r="K973" s="17" t="str">
        <f>IF(I973="","",MATCH($I973,Settings!$F$5:$F$46,0))</f>
        <v/>
      </c>
      <c r="L973" s="18"/>
    </row>
    <row r="974" spans="2:12" x14ac:dyDescent="0.25">
      <c r="B974" s="16"/>
      <c r="C974" s="17" t="str">
        <f>IF(B974="","",IF(AND($B974&gt;=Settings!$C$10,$B974&lt;=Settings!$C$11),"OK","ERROR"))</f>
        <v/>
      </c>
      <c r="D974" s="18"/>
      <c r="E974" s="5"/>
      <c r="F974" s="19"/>
      <c r="G974" s="20" t="str">
        <f t="shared" si="30"/>
        <v/>
      </c>
      <c r="H974" s="18"/>
      <c r="I974" s="5"/>
      <c r="J974" s="21" t="str">
        <f t="shared" si="31"/>
        <v/>
      </c>
      <c r="K974" s="17" t="str">
        <f>IF(I974="","",MATCH($I974,Settings!$F$5:$F$46,0))</f>
        <v/>
      </c>
      <c r="L974" s="18"/>
    </row>
    <row r="975" spans="2:12" x14ac:dyDescent="0.25">
      <c r="B975" s="16"/>
      <c r="C975" s="17" t="str">
        <f>IF(B975="","",IF(AND($B975&gt;=Settings!$C$10,$B975&lt;=Settings!$C$11),"OK","ERROR"))</f>
        <v/>
      </c>
      <c r="D975" s="18"/>
      <c r="E975" s="5"/>
      <c r="F975" s="19"/>
      <c r="G975" s="20" t="str">
        <f t="shared" si="30"/>
        <v/>
      </c>
      <c r="H975" s="18"/>
      <c r="I975" s="5"/>
      <c r="J975" s="21" t="str">
        <f t="shared" si="31"/>
        <v/>
      </c>
      <c r="K975" s="17" t="str">
        <f>IF(I975="","",MATCH($I975,Settings!$F$5:$F$46,0))</f>
        <v/>
      </c>
      <c r="L975" s="18"/>
    </row>
    <row r="976" spans="2:12" x14ac:dyDescent="0.25">
      <c r="B976" s="16"/>
      <c r="C976" s="17" t="str">
        <f>IF(B976="","",IF(AND($B976&gt;=Settings!$C$10,$B976&lt;=Settings!$C$11),"OK","ERROR"))</f>
        <v/>
      </c>
      <c r="D976" s="18"/>
      <c r="E976" s="5"/>
      <c r="F976" s="19"/>
      <c r="G976" s="20" t="str">
        <f t="shared" si="30"/>
        <v/>
      </c>
      <c r="H976" s="18"/>
      <c r="I976" s="5"/>
      <c r="J976" s="21" t="str">
        <f t="shared" si="31"/>
        <v/>
      </c>
      <c r="K976" s="17" t="str">
        <f>IF(I976="","",MATCH($I976,Settings!$F$5:$F$46,0))</f>
        <v/>
      </c>
      <c r="L976" s="18"/>
    </row>
    <row r="977" spans="2:12" x14ac:dyDescent="0.25">
      <c r="B977" s="16"/>
      <c r="C977" s="17" t="str">
        <f>IF(B977="","",IF(AND($B977&gt;=Settings!$C$10,$B977&lt;=Settings!$C$11),"OK","ERROR"))</f>
        <v/>
      </c>
      <c r="D977" s="18"/>
      <c r="E977" s="5"/>
      <c r="F977" s="19"/>
      <c r="G977" s="20" t="str">
        <f t="shared" si="30"/>
        <v/>
      </c>
      <c r="H977" s="18"/>
      <c r="I977" s="5"/>
      <c r="J977" s="21" t="str">
        <f t="shared" si="31"/>
        <v/>
      </c>
      <c r="K977" s="17" t="str">
        <f>IF(I977="","",MATCH($I977,Settings!$F$5:$F$46,0))</f>
        <v/>
      </c>
      <c r="L977" s="18"/>
    </row>
    <row r="978" spans="2:12" x14ac:dyDescent="0.25">
      <c r="B978" s="16"/>
      <c r="C978" s="17" t="str">
        <f>IF(B978="","",IF(AND($B978&gt;=Settings!$C$10,$B978&lt;=Settings!$C$11),"OK","ERROR"))</f>
        <v/>
      </c>
      <c r="D978" s="18"/>
      <c r="E978" s="5"/>
      <c r="F978" s="19"/>
      <c r="G978" s="20" t="str">
        <f t="shared" si="30"/>
        <v/>
      </c>
      <c r="H978" s="18"/>
      <c r="I978" s="5"/>
      <c r="J978" s="21" t="str">
        <f t="shared" si="31"/>
        <v/>
      </c>
      <c r="K978" s="17" t="str">
        <f>IF(I978="","",MATCH($I978,Settings!$F$5:$F$46,0))</f>
        <v/>
      </c>
      <c r="L978" s="18"/>
    </row>
    <row r="979" spans="2:12" x14ac:dyDescent="0.25">
      <c r="B979" s="16"/>
      <c r="C979" s="17" t="str">
        <f>IF(B979="","",IF(AND($B979&gt;=Settings!$C$10,$B979&lt;=Settings!$C$11),"OK","ERROR"))</f>
        <v/>
      </c>
      <c r="D979" s="18"/>
      <c r="E979" s="5"/>
      <c r="F979" s="19"/>
      <c r="G979" s="20" t="str">
        <f t="shared" si="30"/>
        <v/>
      </c>
      <c r="H979" s="18"/>
      <c r="I979" s="5"/>
      <c r="J979" s="21" t="str">
        <f t="shared" si="31"/>
        <v/>
      </c>
      <c r="K979" s="17" t="str">
        <f>IF(I979="","",MATCH($I979,Settings!$F$5:$F$46,0))</f>
        <v/>
      </c>
      <c r="L979" s="18"/>
    </row>
    <row r="980" spans="2:12" x14ac:dyDescent="0.25">
      <c r="B980" s="16"/>
      <c r="C980" s="17" t="str">
        <f>IF(B980="","",IF(AND($B980&gt;=Settings!$C$10,$B980&lt;=Settings!$C$11),"OK","ERROR"))</f>
        <v/>
      </c>
      <c r="D980" s="18"/>
      <c r="E980" s="5"/>
      <c r="F980" s="19"/>
      <c r="G980" s="20" t="str">
        <f t="shared" si="30"/>
        <v/>
      </c>
      <c r="H980" s="18"/>
      <c r="I980" s="5"/>
      <c r="J980" s="21" t="str">
        <f t="shared" si="31"/>
        <v/>
      </c>
      <c r="K980" s="17" t="str">
        <f>IF(I980="","",MATCH($I980,Settings!$F$5:$F$46,0))</f>
        <v/>
      </c>
      <c r="L980" s="18"/>
    </row>
    <row r="981" spans="2:12" x14ac:dyDescent="0.25">
      <c r="B981" s="16"/>
      <c r="C981" s="17" t="str">
        <f>IF(B981="","",IF(AND($B981&gt;=Settings!$C$10,$B981&lt;=Settings!$C$11),"OK","ERROR"))</f>
        <v/>
      </c>
      <c r="D981" s="18"/>
      <c r="E981" s="5"/>
      <c r="F981" s="19"/>
      <c r="G981" s="20" t="str">
        <f t="shared" si="30"/>
        <v/>
      </c>
      <c r="H981" s="18"/>
      <c r="I981" s="5"/>
      <c r="J981" s="21" t="str">
        <f t="shared" si="31"/>
        <v/>
      </c>
      <c r="K981" s="17" t="str">
        <f>IF(I981="","",MATCH($I981,Settings!$F$5:$F$46,0))</f>
        <v/>
      </c>
      <c r="L981" s="18"/>
    </row>
    <row r="982" spans="2:12" x14ac:dyDescent="0.25">
      <c r="B982" s="16"/>
      <c r="C982" s="17" t="str">
        <f>IF(B982="","",IF(AND($B982&gt;=Settings!$C$10,$B982&lt;=Settings!$C$11),"OK","ERROR"))</f>
        <v/>
      </c>
      <c r="D982" s="18"/>
      <c r="E982" s="5"/>
      <c r="F982" s="19"/>
      <c r="G982" s="20" t="str">
        <f t="shared" si="30"/>
        <v/>
      </c>
      <c r="H982" s="18"/>
      <c r="I982" s="5"/>
      <c r="J982" s="21" t="str">
        <f t="shared" si="31"/>
        <v/>
      </c>
      <c r="K982" s="17" t="str">
        <f>IF(I982="","",MATCH($I982,Settings!$F$5:$F$46,0))</f>
        <v/>
      </c>
      <c r="L982" s="18"/>
    </row>
    <row r="983" spans="2:12" x14ac:dyDescent="0.25">
      <c r="B983" s="16"/>
      <c r="C983" s="17" t="str">
        <f>IF(B983="","",IF(AND($B983&gt;=Settings!$C$10,$B983&lt;=Settings!$C$11),"OK","ERROR"))</f>
        <v/>
      </c>
      <c r="D983" s="18"/>
      <c r="E983" s="5"/>
      <c r="F983" s="19"/>
      <c r="G983" s="20" t="str">
        <f t="shared" si="30"/>
        <v/>
      </c>
      <c r="H983" s="18"/>
      <c r="I983" s="5"/>
      <c r="J983" s="21" t="str">
        <f t="shared" si="31"/>
        <v/>
      </c>
      <c r="K983" s="17" t="str">
        <f>IF(I983="","",MATCH($I983,Settings!$F$5:$F$46,0))</f>
        <v/>
      </c>
      <c r="L983" s="18"/>
    </row>
    <row r="984" spans="2:12" x14ac:dyDescent="0.25">
      <c r="B984" s="16"/>
      <c r="C984" s="17" t="str">
        <f>IF(B984="","",IF(AND($B984&gt;=Settings!$C$10,$B984&lt;=Settings!$C$11),"OK","ERROR"))</f>
        <v/>
      </c>
      <c r="D984" s="18"/>
      <c r="E984" s="5"/>
      <c r="F984" s="19"/>
      <c r="G984" s="20" t="str">
        <f t="shared" si="30"/>
        <v/>
      </c>
      <c r="H984" s="18"/>
      <c r="I984" s="5"/>
      <c r="J984" s="21" t="str">
        <f t="shared" si="31"/>
        <v/>
      </c>
      <c r="K984" s="17" t="str">
        <f>IF(I984="","",MATCH($I984,Settings!$F$5:$F$46,0))</f>
        <v/>
      </c>
      <c r="L984" s="18"/>
    </row>
    <row r="985" spans="2:12" x14ac:dyDescent="0.25">
      <c r="B985" s="16"/>
      <c r="C985" s="17" t="str">
        <f>IF(B985="","",IF(AND($B985&gt;=Settings!$C$10,$B985&lt;=Settings!$C$11),"OK","ERROR"))</f>
        <v/>
      </c>
      <c r="D985" s="18"/>
      <c r="E985" s="5"/>
      <c r="F985" s="19"/>
      <c r="G985" s="20" t="str">
        <f t="shared" si="30"/>
        <v/>
      </c>
      <c r="H985" s="18"/>
      <c r="I985" s="5"/>
      <c r="J985" s="21" t="str">
        <f t="shared" si="31"/>
        <v/>
      </c>
      <c r="K985" s="17" t="str">
        <f>IF(I985="","",MATCH($I985,Settings!$F$5:$F$46,0))</f>
        <v/>
      </c>
      <c r="L985" s="18"/>
    </row>
    <row r="986" spans="2:12" x14ac:dyDescent="0.25">
      <c r="B986" s="16"/>
      <c r="C986" s="17" t="str">
        <f>IF(B986="","",IF(AND($B986&gt;=Settings!$C$10,$B986&lt;=Settings!$C$11),"OK","ERROR"))</f>
        <v/>
      </c>
      <c r="D986" s="18"/>
      <c r="E986" s="5"/>
      <c r="F986" s="19"/>
      <c r="G986" s="20" t="str">
        <f t="shared" si="30"/>
        <v/>
      </c>
      <c r="H986" s="18"/>
      <c r="I986" s="5"/>
      <c r="J986" s="21" t="str">
        <f t="shared" si="31"/>
        <v/>
      </c>
      <c r="K986" s="17" t="str">
        <f>IF(I986="","",MATCH($I986,Settings!$F$5:$F$46,0))</f>
        <v/>
      </c>
      <c r="L986" s="18"/>
    </row>
    <row r="987" spans="2:12" x14ac:dyDescent="0.25">
      <c r="B987" s="16"/>
      <c r="C987" s="17" t="str">
        <f>IF(B987="","",IF(AND($B987&gt;=Settings!$C$10,$B987&lt;=Settings!$C$11),"OK","ERROR"))</f>
        <v/>
      </c>
      <c r="D987" s="18"/>
      <c r="E987" s="5"/>
      <c r="F987" s="19"/>
      <c r="G987" s="20" t="str">
        <f t="shared" si="30"/>
        <v/>
      </c>
      <c r="H987" s="18"/>
      <c r="I987" s="5"/>
      <c r="J987" s="21" t="str">
        <f t="shared" si="31"/>
        <v/>
      </c>
      <c r="K987" s="17" t="str">
        <f>IF(I987="","",MATCH($I987,Settings!$F$5:$F$46,0))</f>
        <v/>
      </c>
      <c r="L987" s="18"/>
    </row>
    <row r="988" spans="2:12" x14ac:dyDescent="0.25">
      <c r="B988" s="16"/>
      <c r="C988" s="17" t="str">
        <f>IF(B988="","",IF(AND($B988&gt;=Settings!$C$10,$B988&lt;=Settings!$C$11),"OK","ERROR"))</f>
        <v/>
      </c>
      <c r="D988" s="18"/>
      <c r="E988" s="5"/>
      <c r="F988" s="19"/>
      <c r="G988" s="20" t="str">
        <f t="shared" si="30"/>
        <v/>
      </c>
      <c r="H988" s="18"/>
      <c r="I988" s="5"/>
      <c r="J988" s="21" t="str">
        <f t="shared" si="31"/>
        <v/>
      </c>
      <c r="K988" s="17" t="str">
        <f>IF(I988="","",MATCH($I988,Settings!$F$5:$F$46,0))</f>
        <v/>
      </c>
      <c r="L988" s="18"/>
    </row>
    <row r="989" spans="2:12" x14ac:dyDescent="0.25">
      <c r="B989" s="16"/>
      <c r="C989" s="17" t="str">
        <f>IF(B989="","",IF(AND($B989&gt;=Settings!$C$10,$B989&lt;=Settings!$C$11),"OK","ERROR"))</f>
        <v/>
      </c>
      <c r="D989" s="18"/>
      <c r="E989" s="5"/>
      <c r="F989" s="19"/>
      <c r="G989" s="20" t="str">
        <f t="shared" si="30"/>
        <v/>
      </c>
      <c r="H989" s="18"/>
      <c r="I989" s="5"/>
      <c r="J989" s="21" t="str">
        <f t="shared" si="31"/>
        <v/>
      </c>
      <c r="K989" s="17" t="str">
        <f>IF(I989="","",MATCH($I989,Settings!$F$5:$F$46,0))</f>
        <v/>
      </c>
      <c r="L989" s="18"/>
    </row>
    <row r="990" spans="2:12" x14ac:dyDescent="0.25">
      <c r="B990" s="16"/>
      <c r="C990" s="17" t="str">
        <f>IF(B990="","",IF(AND($B990&gt;=Settings!$C$10,$B990&lt;=Settings!$C$11),"OK","ERROR"))</f>
        <v/>
      </c>
      <c r="D990" s="18"/>
      <c r="E990" s="5"/>
      <c r="F990" s="19"/>
      <c r="G990" s="20" t="str">
        <f t="shared" si="30"/>
        <v/>
      </c>
      <c r="H990" s="18"/>
      <c r="I990" s="5"/>
      <c r="J990" s="21" t="str">
        <f t="shared" si="31"/>
        <v/>
      </c>
      <c r="K990" s="17" t="str">
        <f>IF(I990="","",MATCH($I990,Settings!$F$5:$F$46,0))</f>
        <v/>
      </c>
      <c r="L990" s="18"/>
    </row>
    <row r="991" spans="2:12" x14ac:dyDescent="0.25">
      <c r="B991" s="16"/>
      <c r="C991" s="17" t="str">
        <f>IF(B991="","",IF(AND($B991&gt;=Settings!$C$10,$B991&lt;=Settings!$C$11),"OK","ERROR"))</f>
        <v/>
      </c>
      <c r="D991" s="18"/>
      <c r="E991" s="5"/>
      <c r="F991" s="19"/>
      <c r="G991" s="20" t="str">
        <f t="shared" si="30"/>
        <v/>
      </c>
      <c r="H991" s="18"/>
      <c r="I991" s="5"/>
      <c r="J991" s="21" t="str">
        <f t="shared" si="31"/>
        <v/>
      </c>
      <c r="K991" s="17" t="str">
        <f>IF(I991="","",MATCH($I991,Settings!$F$5:$F$46,0))</f>
        <v/>
      </c>
      <c r="L991" s="18"/>
    </row>
    <row r="992" spans="2:12" x14ac:dyDescent="0.25">
      <c r="B992" s="16"/>
      <c r="C992" s="17" t="str">
        <f>IF(B992="","",IF(AND($B992&gt;=Settings!$C$10,$B992&lt;=Settings!$C$11),"OK","ERROR"))</f>
        <v/>
      </c>
      <c r="D992" s="18"/>
      <c r="E992" s="5"/>
      <c r="F992" s="19"/>
      <c r="G992" s="20" t="str">
        <f t="shared" si="30"/>
        <v/>
      </c>
      <c r="H992" s="18"/>
      <c r="I992" s="5"/>
      <c r="J992" s="21" t="str">
        <f t="shared" si="31"/>
        <v/>
      </c>
      <c r="K992" s="17" t="str">
        <f>IF(I992="","",MATCH($I992,Settings!$F$5:$F$46,0))</f>
        <v/>
      </c>
      <c r="L992" s="18"/>
    </row>
    <row r="993" spans="2:12" x14ac:dyDescent="0.25">
      <c r="B993" s="16"/>
      <c r="C993" s="17" t="str">
        <f>IF(B993="","",IF(AND($B993&gt;=Settings!$C$10,$B993&lt;=Settings!$C$11),"OK","ERROR"))</f>
        <v/>
      </c>
      <c r="D993" s="18"/>
      <c r="E993" s="5"/>
      <c r="F993" s="19"/>
      <c r="G993" s="20" t="str">
        <f t="shared" si="30"/>
        <v/>
      </c>
      <c r="H993" s="18"/>
      <c r="I993" s="5"/>
      <c r="J993" s="21" t="str">
        <f t="shared" si="31"/>
        <v/>
      </c>
      <c r="K993" s="17" t="str">
        <f>IF(I993="","",MATCH($I993,Settings!$F$5:$F$46,0))</f>
        <v/>
      </c>
      <c r="L993" s="18"/>
    </row>
    <row r="994" spans="2:12" x14ac:dyDescent="0.25">
      <c r="B994" s="16"/>
      <c r="C994" s="17" t="str">
        <f>IF(B994="","",IF(AND($B994&gt;=Settings!$C$10,$B994&lt;=Settings!$C$11),"OK","ERROR"))</f>
        <v/>
      </c>
      <c r="D994" s="18"/>
      <c r="E994" s="5"/>
      <c r="F994" s="19"/>
      <c r="G994" s="20" t="str">
        <f t="shared" si="30"/>
        <v/>
      </c>
      <c r="H994" s="18"/>
      <c r="I994" s="5"/>
      <c r="J994" s="21" t="str">
        <f t="shared" si="31"/>
        <v/>
      </c>
      <c r="K994" s="17" t="str">
        <f>IF(I994="","",MATCH($I994,Settings!$F$5:$F$46,0))</f>
        <v/>
      </c>
      <c r="L994" s="18"/>
    </row>
    <row r="995" spans="2:12" x14ac:dyDescent="0.25">
      <c r="B995" s="16"/>
      <c r="C995" s="17" t="str">
        <f>IF(B995="","",IF(AND($B995&gt;=Settings!$C$10,$B995&lt;=Settings!$C$11),"OK","ERROR"))</f>
        <v/>
      </c>
      <c r="D995" s="18"/>
      <c r="E995" s="5"/>
      <c r="F995" s="19"/>
      <c r="G995" s="20" t="str">
        <f t="shared" si="30"/>
        <v/>
      </c>
      <c r="H995" s="18"/>
      <c r="I995" s="5"/>
      <c r="J995" s="21" t="str">
        <f t="shared" si="31"/>
        <v/>
      </c>
      <c r="K995" s="17" t="str">
        <f>IF(I995="","",MATCH($I995,Settings!$F$5:$F$46,0))</f>
        <v/>
      </c>
      <c r="L995" s="18"/>
    </row>
    <row r="996" spans="2:12" x14ac:dyDescent="0.25">
      <c r="B996" s="16"/>
      <c r="C996" s="17" t="str">
        <f>IF(B996="","",IF(AND($B996&gt;=Settings!$C$10,$B996&lt;=Settings!$C$11),"OK","ERROR"))</f>
        <v/>
      </c>
      <c r="D996" s="18"/>
      <c r="E996" s="5"/>
      <c r="F996" s="19"/>
      <c r="G996" s="20" t="str">
        <f t="shared" si="30"/>
        <v/>
      </c>
      <c r="H996" s="18"/>
      <c r="I996" s="5"/>
      <c r="J996" s="21" t="str">
        <f t="shared" si="31"/>
        <v/>
      </c>
      <c r="K996" s="17" t="str">
        <f>IF(I996="","",MATCH($I996,Settings!$F$5:$F$46,0))</f>
        <v/>
      </c>
      <c r="L996" s="18"/>
    </row>
    <row r="997" spans="2:12" x14ac:dyDescent="0.25">
      <c r="B997" s="16"/>
      <c r="C997" s="17" t="str">
        <f>IF(B997="","",IF(AND($B997&gt;=Settings!$C$10,$B997&lt;=Settings!$C$11),"OK","ERROR"))</f>
        <v/>
      </c>
      <c r="D997" s="18"/>
      <c r="E997" s="5"/>
      <c r="F997" s="19"/>
      <c r="G997" s="20" t="str">
        <f t="shared" si="30"/>
        <v/>
      </c>
      <c r="H997" s="18"/>
      <c r="I997" s="5"/>
      <c r="J997" s="21" t="str">
        <f t="shared" si="31"/>
        <v/>
      </c>
      <c r="K997" s="17" t="str">
        <f>IF(I997="","",MATCH($I997,Settings!$F$5:$F$46,0))</f>
        <v/>
      </c>
      <c r="L997" s="18"/>
    </row>
    <row r="998" spans="2:12" x14ac:dyDescent="0.25">
      <c r="B998" s="16"/>
      <c r="C998" s="17" t="str">
        <f>IF(B998="","",IF(AND($B998&gt;=Settings!$C$10,$B998&lt;=Settings!$C$11),"OK","ERROR"))</f>
        <v/>
      </c>
      <c r="D998" s="18"/>
      <c r="E998" s="5"/>
      <c r="F998" s="19"/>
      <c r="G998" s="20" t="str">
        <f t="shared" si="30"/>
        <v/>
      </c>
      <c r="H998" s="18"/>
      <c r="I998" s="5"/>
      <c r="J998" s="21" t="str">
        <f t="shared" si="31"/>
        <v/>
      </c>
      <c r="K998" s="17" t="str">
        <f>IF(I998="","",MATCH($I998,Settings!$F$5:$F$46,0))</f>
        <v/>
      </c>
      <c r="L998" s="18"/>
    </row>
    <row r="999" spans="2:12" x14ac:dyDescent="0.25">
      <c r="B999" s="16"/>
      <c r="C999" s="17" t="str">
        <f>IF(B999="","",IF(AND($B999&gt;=Settings!$C$10,$B999&lt;=Settings!$C$11),"OK","ERROR"))</f>
        <v/>
      </c>
      <c r="D999" s="18"/>
      <c r="E999" s="5"/>
      <c r="F999" s="19"/>
      <c r="G999" s="20" t="str">
        <f t="shared" si="30"/>
        <v/>
      </c>
      <c r="H999" s="18"/>
      <c r="I999" s="5"/>
      <c r="J999" s="21" t="str">
        <f t="shared" si="31"/>
        <v/>
      </c>
      <c r="K999" s="17" t="str">
        <f>IF(I999="","",MATCH($I999,Settings!$F$5:$F$46,0))</f>
        <v/>
      </c>
      <c r="L999" s="18"/>
    </row>
    <row r="1000" spans="2:12" x14ac:dyDescent="0.25">
      <c r="B1000" s="16"/>
      <c r="C1000" s="17" t="str">
        <f>IF(B1000="","",IF(AND($B1000&gt;=Settings!$C$10,$B1000&lt;=Settings!$C$11),"OK","ERROR"))</f>
        <v/>
      </c>
      <c r="D1000" s="18"/>
      <c r="E1000" s="5"/>
      <c r="F1000" s="19"/>
      <c r="G1000" s="20" t="str">
        <f t="shared" si="30"/>
        <v/>
      </c>
      <c r="H1000" s="18"/>
      <c r="I1000" s="5"/>
      <c r="J1000" s="21" t="str">
        <f t="shared" si="31"/>
        <v/>
      </c>
      <c r="K1000" s="17" t="str">
        <f>IF(I1000="","",MATCH($I1000,Settings!$F$5:$F$46,0))</f>
        <v/>
      </c>
      <c r="L1000" s="18"/>
    </row>
    <row r="1001" spans="2:12" x14ac:dyDescent="0.25">
      <c r="B1001" s="16"/>
      <c r="C1001" s="17" t="str">
        <f>IF(B1001="","",IF(AND($B1001&gt;=Settings!$C$10,$B1001&lt;=Settings!$C$11),"OK","ERROR"))</f>
        <v/>
      </c>
      <c r="D1001" s="18"/>
      <c r="E1001" s="5"/>
      <c r="F1001" s="19"/>
      <c r="G1001" s="20" t="str">
        <f t="shared" si="30"/>
        <v/>
      </c>
      <c r="H1001" s="18"/>
      <c r="I1001" s="5"/>
      <c r="J1001" s="21" t="str">
        <f t="shared" si="31"/>
        <v/>
      </c>
      <c r="K1001" s="17" t="str">
        <f>IF(I1001="","",MATCH($I1001,Settings!$F$5:$F$46,0))</f>
        <v/>
      </c>
      <c r="L1001" s="18"/>
    </row>
    <row r="1002" spans="2:12" x14ac:dyDescent="0.25">
      <c r="B1002" s="16"/>
      <c r="C1002" s="17" t="str">
        <f>IF(B1002="","",IF(AND($B1002&gt;=Settings!$C$10,$B1002&lt;=Settings!$C$11),"OK","ERROR"))</f>
        <v/>
      </c>
      <c r="D1002" s="18"/>
      <c r="E1002" s="5"/>
      <c r="F1002" s="19"/>
      <c r="G1002" s="20" t="str">
        <f t="shared" si="30"/>
        <v/>
      </c>
      <c r="H1002" s="18"/>
      <c r="I1002" s="5"/>
      <c r="J1002" s="21" t="str">
        <f t="shared" si="31"/>
        <v/>
      </c>
      <c r="K1002" s="17" t="str">
        <f>IF(I1002="","",MATCH($I1002,Settings!$F$5:$F$46,0))</f>
        <v/>
      </c>
      <c r="L1002" s="18"/>
    </row>
    <row r="1003" spans="2:12" x14ac:dyDescent="0.25">
      <c r="B1003" s="16"/>
      <c r="C1003" s="17" t="str">
        <f>IF(B1003="","",IF(AND($B1003&gt;=Settings!$C$10,$B1003&lt;=Settings!$C$11),"OK","ERROR"))</f>
        <v/>
      </c>
      <c r="D1003" s="18"/>
      <c r="E1003" s="5"/>
      <c r="F1003" s="19"/>
      <c r="G1003" s="20" t="str">
        <f t="shared" si="30"/>
        <v/>
      </c>
      <c r="H1003" s="18"/>
      <c r="I1003" s="5"/>
      <c r="J1003" s="21" t="str">
        <f t="shared" si="31"/>
        <v/>
      </c>
      <c r="K1003" s="17" t="str">
        <f>IF(I1003="","",MATCH($I1003,Settings!$F$5:$F$46,0))</f>
        <v/>
      </c>
      <c r="L1003" s="18"/>
    </row>
    <row r="1004" spans="2:12" x14ac:dyDescent="0.25">
      <c r="B1004" s="16"/>
      <c r="C1004" s="17" t="str">
        <f>IF(B1004="","",IF(AND($B1004&gt;=Settings!$C$10,$B1004&lt;=Settings!$C$11),"OK","ERROR"))</f>
        <v/>
      </c>
      <c r="D1004" s="18"/>
      <c r="E1004" s="5"/>
      <c r="F1004" s="19"/>
      <c r="G1004" s="20" t="str">
        <f t="shared" si="30"/>
        <v/>
      </c>
      <c r="H1004" s="18"/>
      <c r="I1004" s="5"/>
      <c r="J1004" s="21" t="str">
        <f t="shared" si="31"/>
        <v/>
      </c>
      <c r="K1004" s="17" t="str">
        <f>IF(I1004="","",MATCH($I1004,Settings!$F$5:$F$46,0))</f>
        <v/>
      </c>
      <c r="L1004" s="18"/>
    </row>
    <row r="1005" spans="2:12" x14ac:dyDescent="0.25">
      <c r="B1005" s="16"/>
      <c r="C1005" s="17" t="str">
        <f>IF(B1005="","",IF(AND($B1005&gt;=Settings!$C$10,$B1005&lt;=Settings!$C$11),"OK","ERROR"))</f>
        <v/>
      </c>
      <c r="D1005" s="18"/>
      <c r="E1005" s="5"/>
      <c r="F1005" s="19"/>
      <c r="G1005" s="20" t="str">
        <f t="shared" si="30"/>
        <v/>
      </c>
      <c r="H1005" s="18"/>
      <c r="I1005" s="5"/>
      <c r="J1005" s="21" t="str">
        <f t="shared" si="31"/>
        <v/>
      </c>
      <c r="K1005" s="17" t="str">
        <f>IF(I1005="","",MATCH($I1005,Settings!$F$5:$F$46,0))</f>
        <v/>
      </c>
      <c r="L1005" s="18"/>
    </row>
    <row r="1006" spans="2:12" x14ac:dyDescent="0.25">
      <c r="B1006" s="14"/>
      <c r="D1006" s="14"/>
      <c r="E1006" s="14"/>
      <c r="F1006" s="15"/>
      <c r="G1006" s="15"/>
      <c r="H1006" s="14"/>
      <c r="I1006" s="14"/>
      <c r="L1006" s="14"/>
    </row>
    <row r="1007" spans="2:12" x14ac:dyDescent="0.25">
      <c r="B1007" s="2" t="s">
        <v>96</v>
      </c>
      <c r="C1007" s="2" t="s">
        <v>96</v>
      </c>
      <c r="D1007" s="2" t="s">
        <v>96</v>
      </c>
      <c r="E1007" s="2" t="s">
        <v>96</v>
      </c>
      <c r="F1007" s="2" t="s">
        <v>96</v>
      </c>
      <c r="G1007" s="2" t="s">
        <v>96</v>
      </c>
      <c r="H1007" s="2" t="s">
        <v>96</v>
      </c>
      <c r="I1007" s="2" t="s">
        <v>96</v>
      </c>
      <c r="J1007" s="2" t="s">
        <v>96</v>
      </c>
      <c r="K1007" s="2" t="s">
        <v>96</v>
      </c>
      <c r="L1007" s="2" t="s">
        <v>96</v>
      </c>
    </row>
  </sheetData>
  <mergeCells count="1">
    <mergeCell ref="Q4:Y4"/>
  </mergeCells>
  <conditionalFormatting sqref="D6:D1005">
    <cfRule type="expression" dxfId="5" priority="5">
      <formula>$C6="OK"</formula>
    </cfRule>
    <cfRule type="expression" dxfId="4" priority="6">
      <formula>$C6="ERROR"</formula>
    </cfRule>
  </conditionalFormatting>
  <conditionalFormatting sqref="H6:H1005">
    <cfRule type="expression" dxfId="3" priority="3">
      <formula>$G6="OK"</formula>
    </cfRule>
    <cfRule type="expression" dxfId="2" priority="4">
      <formula>$G6="ERROR"</formula>
    </cfRule>
  </conditionalFormatting>
  <conditionalFormatting sqref="L6:L1005">
    <cfRule type="expression" dxfId="1" priority="1">
      <formula>$J6="ERROR"</formula>
    </cfRule>
    <cfRule type="expression" dxfId="0" priority="2">
      <formula>$J6="OK"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730655-EF43-43E3-BB02-069EA85A4438}">
          <x14:formula1>
            <xm:f>Settings!$F$5:$F$45</xm:f>
          </x14:formula1>
          <xm:sqref>I6:I1005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FBE4-1230-4578-90D5-DAAB8DBBB72E}">
  <dimension ref="B2:H58"/>
  <sheetViews>
    <sheetView tabSelected="1" zoomScale="70" zoomScaleNormal="70" workbookViewId="0">
      <pane ySplit="5" topLeftCell="A48" activePane="bottomLeft" state="frozen"/>
      <selection activeCell="D17" sqref="D17"/>
      <selection pane="bottomLeft" activeCell="H18" sqref="H18"/>
    </sheetView>
  </sheetViews>
  <sheetFormatPr defaultColWidth="9.140625" defaultRowHeight="15.75" x14ac:dyDescent="0.25"/>
  <cols>
    <col min="1" max="1" width="5.7109375" style="2" customWidth="1"/>
    <col min="2" max="2" width="6.28515625" style="2" customWidth="1"/>
    <col min="3" max="3" width="35.42578125" style="2" customWidth="1"/>
    <col min="4" max="4" width="16.140625" style="2" customWidth="1"/>
    <col min="5" max="5" width="26.42578125" style="2" customWidth="1"/>
    <col min="6" max="6" width="6.28515625" style="2" customWidth="1"/>
    <col min="7" max="7" width="35.42578125" style="2" customWidth="1"/>
    <col min="8" max="8" width="16.140625" style="2" customWidth="1"/>
    <col min="9" max="16384" width="9.140625" style="2"/>
  </cols>
  <sheetData>
    <row r="2" spans="2:8" ht="28.5" x14ac:dyDescent="0.45">
      <c r="B2" s="27" t="str">
        <f>Settings!$C$8</f>
        <v>Income Statement</v>
      </c>
      <c r="C2" s="28"/>
      <c r="D2" s="28"/>
      <c r="F2" s="27" t="s">
        <v>50</v>
      </c>
      <c r="G2" s="27"/>
      <c r="H2" s="27"/>
    </row>
    <row r="3" spans="2:8" ht="15" customHeight="1" x14ac:dyDescent="0.25">
      <c r="B3" s="29"/>
      <c r="C3" s="28" t="s">
        <v>104</v>
      </c>
      <c r="D3" s="28"/>
      <c r="F3" s="29"/>
      <c r="G3" s="28" t="s">
        <v>104</v>
      </c>
      <c r="H3" s="28"/>
    </row>
    <row r="4" spans="2:8" x14ac:dyDescent="0.25">
      <c r="B4" s="30" t="str">
        <f>TEXT(Settings!$C$10,"dd-mmm-yyyy")&amp;" to "&amp;TEXT(Settings!$C$11,"dd-mmm-yyyy")</f>
        <v>01-Jul-2023 to 30-Jun-2024</v>
      </c>
      <c r="C4" s="29"/>
      <c r="D4" s="29"/>
      <c r="F4" s="30" t="str">
        <f>TEXT(Settings!$C$10,"dd-mmm-yyyy")&amp;" to "&amp;TEXT(Settings!$C$11,"dd-mmm-yyyy")</f>
        <v>01-Jul-2023 to 30-Jun-2024</v>
      </c>
      <c r="G4" s="29"/>
      <c r="H4" s="29"/>
    </row>
    <row r="5" spans="2:8" x14ac:dyDescent="0.25">
      <c r="B5" s="31"/>
      <c r="F5" s="31"/>
    </row>
    <row r="6" spans="2:8" ht="18" customHeight="1" x14ac:dyDescent="0.3">
      <c r="B6" s="32" t="s">
        <v>5</v>
      </c>
      <c r="C6" s="32"/>
      <c r="D6" s="33"/>
      <c r="F6" s="32" t="s">
        <v>97</v>
      </c>
      <c r="G6" s="32"/>
      <c r="H6" s="33"/>
    </row>
    <row r="7" spans="2:8" ht="18" customHeight="1" x14ac:dyDescent="0.25">
      <c r="B7" s="34" t="s">
        <v>98</v>
      </c>
      <c r="C7" s="35" t="str">
        <f>IF(Settings!F5&lt;&gt;"",Settings!F5,"")</f>
        <v>Sales Revenue</v>
      </c>
      <c r="D7" s="36">
        <f>IFERROR(SUMIF(Bookkeeping!$I$5:$I$1006,'Summary Reports'!$C7,Bookkeeping!$F$5:$F$1006),0)</f>
        <v>227900</v>
      </c>
      <c r="F7" s="34" t="s">
        <v>98</v>
      </c>
      <c r="G7" s="35" t="str">
        <f>Settings!F41</f>
        <v>Motor Vehicles</v>
      </c>
      <c r="H7" s="36">
        <f>IFERROR(SUMIF(Bookkeeping!$I$5:$I$1006,'Summary Reports'!$G7,Bookkeeping!$F$5:$F$1006),0)</f>
        <v>0</v>
      </c>
    </row>
    <row r="8" spans="2:8" ht="18" customHeight="1" x14ac:dyDescent="0.25">
      <c r="B8" s="34" t="s">
        <v>98</v>
      </c>
      <c r="C8" s="37" t="str">
        <f>IF(Settings!F6&lt;&gt;"",Settings!F6,"")</f>
        <v>Refunds to Customers</v>
      </c>
      <c r="D8" s="38">
        <f>-IFERROR(SUMIF(Bookkeeping!$I$5:$I$1006,'Summary Reports'!$C8,Bookkeeping!$F$5:$F$1006),0)</f>
        <v>-50</v>
      </c>
      <c r="F8" s="34" t="s">
        <v>98</v>
      </c>
      <c r="G8" s="35" t="str">
        <f>Settings!F42</f>
        <v>Computer Hardware</v>
      </c>
      <c r="H8" s="36">
        <f>IFERROR(SUMIF(Bookkeeping!$I$5:$I$1006,'Summary Reports'!$G8,Bookkeeping!$F$5:$F$1006),0)</f>
        <v>0</v>
      </c>
    </row>
    <row r="9" spans="2:8" ht="18" customHeight="1" x14ac:dyDescent="0.25">
      <c r="B9" s="34"/>
      <c r="C9" s="39" t="str">
        <f>IF(Settings!F7&lt;&gt;"",Settings!F7,"")</f>
        <v/>
      </c>
      <c r="D9" s="40">
        <f>IFERROR(SUMIF(Bookkeeping!$I$5:$I$1006,'Summary Reports'!$C9,Bookkeeping!$F$5:$F$1006),0)</f>
        <v>0</v>
      </c>
      <c r="F9" s="34"/>
      <c r="G9" s="35" t="str">
        <f>Settings!F43</f>
        <v>Furniture</v>
      </c>
      <c r="H9" s="36">
        <f>IFERROR(SUMIF(Bookkeeping!$I$5:$I$1006,'Summary Reports'!$G9,Bookkeeping!$F$5:$F$1006),0)</f>
        <v>4500</v>
      </c>
    </row>
    <row r="10" spans="2:8" ht="18" customHeight="1" x14ac:dyDescent="0.25">
      <c r="B10" s="41"/>
      <c r="C10" s="42"/>
      <c r="D10" s="43">
        <f>SUM(D7:D9)</f>
        <v>227850</v>
      </c>
      <c r="F10" s="34"/>
      <c r="G10" s="35" t="str">
        <f>IF(Settings!F44&lt;&gt;"",Settings!F44,"")</f>
        <v/>
      </c>
      <c r="H10" s="36">
        <f>IFERROR(SUMIF(Bookkeeping!$I$5:$I$1006,'Summary Reports'!$G10,Bookkeeping!$F$5:$F$1006),0)</f>
        <v>0</v>
      </c>
    </row>
    <row r="11" spans="2:8" ht="18" customHeight="1" x14ac:dyDescent="0.3">
      <c r="B11" s="32" t="s">
        <v>13</v>
      </c>
      <c r="C11" s="32"/>
      <c r="D11" s="33"/>
      <c r="F11" s="34"/>
      <c r="G11" s="39" t="str">
        <f>IF(Settings!F45&lt;&gt;"",Settings!F45,"")</f>
        <v/>
      </c>
      <c r="H11" s="44">
        <f>IFERROR(SUMIF(Bookkeeping!$I$5:$I$1006,'Summary Reports'!$G11,Bookkeeping!$F$5:$F$1006),0)</f>
        <v>0</v>
      </c>
    </row>
    <row r="12" spans="2:8" ht="18" customHeight="1" x14ac:dyDescent="0.3">
      <c r="B12" s="34" t="s">
        <v>98</v>
      </c>
      <c r="C12" s="35" t="str">
        <f>IF(Settings!F8&lt;&gt;"",Settings!F8,"")</f>
        <v>Purchases</v>
      </c>
      <c r="D12" s="36">
        <f>IFERROR(SUMIF(Bookkeeping!$I$5:$I$1006,'Summary Reports'!$C12,Bookkeeping!$F$5:$F$1006),0)</f>
        <v>9525</v>
      </c>
      <c r="F12" s="32" t="s">
        <v>99</v>
      </c>
      <c r="G12" s="32"/>
      <c r="H12" s="33">
        <f>SUM(H7:H11)</f>
        <v>4500</v>
      </c>
    </row>
    <row r="13" spans="2:8" ht="18" customHeight="1" x14ac:dyDescent="0.25">
      <c r="B13" s="34"/>
      <c r="C13" s="35" t="str">
        <f>IF(Settings!F9&lt;&gt;"",Settings!F9,"")</f>
        <v>Returns to Suppliers</v>
      </c>
      <c r="D13" s="36">
        <f>-IFERROR(SUMIF(Bookkeeping!$I$5:$I$1006,'Summary Reports'!$C13,Bookkeeping!$F$5:$F$1006),0)</f>
        <v>-30</v>
      </c>
    </row>
    <row r="14" spans="2:8" ht="18" customHeight="1" x14ac:dyDescent="0.25">
      <c r="B14" s="34"/>
      <c r="C14" s="39" t="str">
        <f>IF(Settings!F10&lt;&gt;"",Settings!F10,"")</f>
        <v/>
      </c>
      <c r="D14" s="40">
        <f>IFERROR(SUMIF(Bookkeeping!$I$5:$I$1006,'Summary Reports'!$C14,Bookkeeping!$F$5:$F$1006),0)</f>
        <v>0</v>
      </c>
    </row>
    <row r="15" spans="2:8" ht="18" customHeight="1" x14ac:dyDescent="0.25">
      <c r="B15" s="41" t="s">
        <v>98</v>
      </c>
      <c r="C15" s="42"/>
      <c r="D15" s="43">
        <f>SUM(D12:D14)</f>
        <v>9495</v>
      </c>
    </row>
    <row r="16" spans="2:8" ht="18" customHeight="1" x14ac:dyDescent="0.3">
      <c r="B16" s="32" t="s">
        <v>100</v>
      </c>
      <c r="C16" s="32"/>
      <c r="D16" s="33">
        <f>D10-D15</f>
        <v>218355</v>
      </c>
    </row>
    <row r="17" spans="2:4" ht="18" customHeight="1" x14ac:dyDescent="0.25">
      <c r="B17" s="31" t="s">
        <v>98</v>
      </c>
      <c r="D17" s="45"/>
    </row>
    <row r="18" spans="2:4" ht="18" customHeight="1" x14ac:dyDescent="0.3">
      <c r="B18" s="32" t="s">
        <v>21</v>
      </c>
      <c r="C18" s="32"/>
      <c r="D18" s="33"/>
    </row>
    <row r="19" spans="2:4" ht="18" customHeight="1" x14ac:dyDescent="0.25">
      <c r="B19" s="34"/>
      <c r="C19" s="35" t="str">
        <f>IF(Settings!F11&lt;&gt;"",Settings!F11,"")</f>
        <v>Advertising and Marketing</v>
      </c>
      <c r="D19" s="36">
        <f>IFERROR(SUMIF(Bookkeeping!$I$5:$I$1006,'Summary Reports'!$C19,Bookkeeping!$F$5:$F$1006),0)</f>
        <v>100</v>
      </c>
    </row>
    <row r="20" spans="2:4" ht="18" customHeight="1" x14ac:dyDescent="0.25">
      <c r="B20" s="34" t="s">
        <v>98</v>
      </c>
      <c r="C20" s="35" t="str">
        <f>IF(Settings!F12&lt;&gt;"",Settings!F12,"")</f>
        <v>Bank Fees</v>
      </c>
      <c r="D20" s="36">
        <f>IFERROR(SUMIF(Bookkeeping!$I$5:$I$1006,'Summary Reports'!$C20,Bookkeeping!$F$5:$F$1006),0)</f>
        <v>6</v>
      </c>
    </row>
    <row r="21" spans="2:4" ht="18" customHeight="1" x14ac:dyDescent="0.25">
      <c r="B21" s="34" t="s">
        <v>98</v>
      </c>
      <c r="C21" s="35" t="str">
        <f>IF(Settings!F13&lt;&gt;"",Settings!F13,"")</f>
        <v>Business Meals</v>
      </c>
      <c r="D21" s="36">
        <f>IFERROR(SUMIF(Bookkeeping!$I$5:$I$1006,'Summary Reports'!$C21,Bookkeeping!$F$5:$F$1006),0)</f>
        <v>45</v>
      </c>
    </row>
    <row r="22" spans="2:4" ht="18" customHeight="1" x14ac:dyDescent="0.25">
      <c r="B22" s="34" t="s">
        <v>98</v>
      </c>
      <c r="C22" s="35" t="str">
        <f>IF(Settings!F14&lt;&gt;"",Settings!F14,"")</f>
        <v>Client Entertainment</v>
      </c>
      <c r="D22" s="36">
        <f>IFERROR(SUMIF(Bookkeeping!$I$5:$I$1006,'Summary Reports'!$C22,Bookkeeping!$F$5:$F$1006),0)</f>
        <v>40</v>
      </c>
    </row>
    <row r="23" spans="2:4" ht="18" customHeight="1" x14ac:dyDescent="0.25">
      <c r="B23" s="34" t="s">
        <v>98</v>
      </c>
      <c r="C23" s="35" t="str">
        <f>IF(Settings!F15&lt;&gt;"",Settings!F15,"")</f>
        <v>Computers Expenses</v>
      </c>
      <c r="D23" s="36">
        <f>IFERROR(SUMIF(Bookkeeping!$I$5:$I$1006,'Summary Reports'!$C23,Bookkeeping!$F$5:$F$1006),0)</f>
        <v>150</v>
      </c>
    </row>
    <row r="24" spans="2:4" ht="18" customHeight="1" x14ac:dyDescent="0.25">
      <c r="B24" s="34" t="s">
        <v>98</v>
      </c>
      <c r="C24" s="35" t="str">
        <f>IF(Settings!F16&lt;&gt;"",Settings!F16,"")</f>
        <v>Motor Vehicle Expenses</v>
      </c>
      <c r="D24" s="36">
        <f>IFERROR(SUMIF(Bookkeeping!$I$5:$I$1006,'Summary Reports'!$C24,Bookkeeping!$F$5:$F$1006),0)</f>
        <v>70</v>
      </c>
    </row>
    <row r="25" spans="2:4" ht="18" customHeight="1" x14ac:dyDescent="0.25">
      <c r="B25" s="34" t="s">
        <v>98</v>
      </c>
      <c r="C25" s="35" t="str">
        <f>IF(Settings!F17&lt;&gt;"",Settings!F17,"")</f>
        <v>Contractors</v>
      </c>
      <c r="D25" s="36">
        <f>IFERROR(SUMIF(Bookkeeping!$I$5:$I$1006,'Summary Reports'!$C25,Bookkeeping!$F$5:$F$1006),0)</f>
        <v>500</v>
      </c>
    </row>
    <row r="26" spans="2:4" ht="18" customHeight="1" x14ac:dyDescent="0.25">
      <c r="B26" s="34" t="s">
        <v>98</v>
      </c>
      <c r="C26" s="35" t="str">
        <f>IF(Settings!F18&lt;&gt;"",Settings!F18,"")</f>
        <v>Insurance Fees</v>
      </c>
      <c r="D26" s="36">
        <f>IFERROR(SUMIF(Bookkeeping!$I$5:$I$1006,'Summary Reports'!$C26,Bookkeeping!$F$5:$F$1006),0)</f>
        <v>1000</v>
      </c>
    </row>
    <row r="27" spans="2:4" ht="18" customHeight="1" x14ac:dyDescent="0.25">
      <c r="B27" s="34" t="s">
        <v>98</v>
      </c>
      <c r="C27" s="35" t="str">
        <f>IF(Settings!F19&lt;&gt;"",Settings!F19,"")</f>
        <v>Interest Paid</v>
      </c>
      <c r="D27" s="36">
        <f>IFERROR(SUMIF(Bookkeeping!$I$5:$I$1006,'Summary Reports'!$C27,Bookkeeping!$F$5:$F$1006),0)</f>
        <v>13</v>
      </c>
    </row>
    <row r="28" spans="2:4" ht="18" customHeight="1" x14ac:dyDescent="0.25">
      <c r="B28" s="34" t="s">
        <v>98</v>
      </c>
      <c r="C28" s="35" t="str">
        <f>IF(Settings!F20&lt;&gt;"",Settings!F20,"")</f>
        <v>Professional Fees</v>
      </c>
      <c r="D28" s="36">
        <f>IFERROR(SUMIF(Bookkeeping!$I$5:$I$1006,'Summary Reports'!$C28,Bookkeeping!$F$5:$F$1006),0)</f>
        <v>1400</v>
      </c>
    </row>
    <row r="29" spans="2:4" ht="18" customHeight="1" x14ac:dyDescent="0.25">
      <c r="B29" s="34" t="s">
        <v>98</v>
      </c>
      <c r="C29" s="35" t="str">
        <f>IF(Settings!F21&lt;&gt;"",Settings!F21,"")</f>
        <v>Licenses or Fees</v>
      </c>
      <c r="D29" s="36">
        <f>IFERROR(SUMIF(Bookkeeping!$I$5:$I$1006,'Summary Reports'!$C29,Bookkeeping!$F$5:$F$1006),0)</f>
        <v>80</v>
      </c>
    </row>
    <row r="30" spans="2:4" ht="18" customHeight="1" x14ac:dyDescent="0.25">
      <c r="B30" s="34" t="s">
        <v>98</v>
      </c>
      <c r="C30" s="35" t="str">
        <f>IF(Settings!F22&lt;&gt;"",Settings!F22,"")</f>
        <v>Miscellaneous Expenses</v>
      </c>
      <c r="D30" s="36">
        <f>IFERROR(SUMIF(Bookkeeping!$I$5:$I$1006,'Summary Reports'!$C30,Bookkeeping!$F$5:$F$1006),0)</f>
        <v>1350</v>
      </c>
    </row>
    <row r="31" spans="2:4" ht="18" customHeight="1" x14ac:dyDescent="0.25">
      <c r="B31" s="34" t="s">
        <v>98</v>
      </c>
      <c r="C31" s="35" t="str">
        <f>IF(Settings!F23&lt;&gt;"",Settings!F23,"")</f>
        <v>Telephone and Internet</v>
      </c>
      <c r="D31" s="36">
        <f>IFERROR(SUMIF(Bookkeeping!$I$5:$I$1006,'Summary Reports'!$C31,Bookkeeping!$F$5:$F$1006),0)</f>
        <v>200</v>
      </c>
    </row>
    <row r="32" spans="2:4" ht="18" customHeight="1" x14ac:dyDescent="0.25">
      <c r="B32" s="34"/>
      <c r="C32" s="35" t="str">
        <f>IF(Settings!F24&lt;&gt;"",Settings!F24,"")</f>
        <v>Electricity and Gas</v>
      </c>
      <c r="D32" s="36">
        <f>IFERROR(SUMIF(Bookkeeping!$I$5:$I$1006,'Summary Reports'!$C32,Bookkeeping!$F$5:$F$1006),0)</f>
        <v>328</v>
      </c>
    </row>
    <row r="33" spans="2:4" ht="18" customHeight="1" x14ac:dyDescent="0.25">
      <c r="B33" s="34" t="s">
        <v>98</v>
      </c>
      <c r="C33" s="35" t="str">
        <f>IF(Settings!F25&lt;&gt;"",Settings!F25,"")</f>
        <v>Postage and Shipping</v>
      </c>
      <c r="D33" s="36">
        <f>IFERROR(SUMIF(Bookkeeping!$I$5:$I$1006,'Summary Reports'!$C33,Bookkeeping!$F$5:$F$1006),0)</f>
        <v>19</v>
      </c>
    </row>
    <row r="34" spans="2:4" ht="18" customHeight="1" x14ac:dyDescent="0.25">
      <c r="B34" s="34" t="s">
        <v>98</v>
      </c>
      <c r="C34" s="35" t="str">
        <f>IF(Settings!F26&lt;&gt;"",Settings!F26,"")</f>
        <v>Rent or Lease</v>
      </c>
      <c r="D34" s="36">
        <f>IFERROR(SUMIF(Bookkeeping!$I$5:$I$1006,'Summary Reports'!$C34,Bookkeeping!$F$5:$F$1006),0)</f>
        <v>5000</v>
      </c>
    </row>
    <row r="35" spans="2:4" ht="18" customHeight="1" x14ac:dyDescent="0.25">
      <c r="B35" s="34" t="s">
        <v>98</v>
      </c>
      <c r="C35" s="35" t="str">
        <f>IF(Settings!F27&lt;&gt;"",Settings!F27,"")</f>
        <v>Software Expenses</v>
      </c>
      <c r="D35" s="36">
        <f>IFERROR(SUMIF(Bookkeeping!$I$5:$I$1006,'Summary Reports'!$C35,Bookkeeping!$F$5:$F$1006),0)</f>
        <v>300</v>
      </c>
    </row>
    <row r="36" spans="2:4" ht="18" customHeight="1" x14ac:dyDescent="0.25">
      <c r="B36" s="34" t="s">
        <v>98</v>
      </c>
      <c r="C36" s="35" t="str">
        <f>IF(Settings!F28&lt;&gt;"",Settings!F28,"")</f>
        <v>Supplies</v>
      </c>
      <c r="D36" s="36">
        <f>IFERROR(SUMIF(Bookkeeping!$I$5:$I$1006,'Summary Reports'!$C36,Bookkeeping!$F$5:$F$1006),0)</f>
        <v>50</v>
      </c>
    </row>
    <row r="37" spans="2:4" ht="18" customHeight="1" x14ac:dyDescent="0.25">
      <c r="B37" s="34" t="s">
        <v>98</v>
      </c>
      <c r="C37" s="35" t="str">
        <f>IF(Settings!F29&lt;&gt;"",Settings!F29,"")</f>
        <v>Travel and Transportation</v>
      </c>
      <c r="D37" s="36">
        <f>IFERROR(SUMIF(Bookkeeping!$I$5:$I$1006,'Summary Reports'!$C37,Bookkeeping!$F$5:$F$1006),0)</f>
        <v>23</v>
      </c>
    </row>
    <row r="38" spans="2:4" ht="18" customHeight="1" x14ac:dyDescent="0.25">
      <c r="B38" s="34" t="s">
        <v>98</v>
      </c>
      <c r="C38" s="35" t="str">
        <f>IF(Settings!F30&lt;&gt;"",Settings!F30,"")</f>
        <v>Mehtab Personal Expenses</v>
      </c>
      <c r="D38" s="36">
        <f>IFERROR(SUMIF(Bookkeeping!$I$5:$I$1006,'Summary Reports'!$C38,Bookkeeping!$F$5:$F$1006),0)</f>
        <v>75000</v>
      </c>
    </row>
    <row r="39" spans="2:4" ht="18" customHeight="1" x14ac:dyDescent="0.25">
      <c r="B39" s="34"/>
      <c r="C39" s="35" t="str">
        <f>IF(Settings!F31&lt;&gt;"",Settings!F31,"")</f>
        <v/>
      </c>
      <c r="D39" s="36">
        <f>IFERROR(SUMIF(Bookkeeping!$I$5:$I$1006,'Summary Reports'!$C39,Bookkeeping!$F$5:$F$1006),0)</f>
        <v>0</v>
      </c>
    </row>
    <row r="40" spans="2:4" ht="18" customHeight="1" x14ac:dyDescent="0.25">
      <c r="B40" s="34"/>
      <c r="C40" s="35" t="str">
        <f>IF(Settings!F32&lt;&gt;"",Settings!F32,"")</f>
        <v/>
      </c>
      <c r="D40" s="36">
        <f>IFERROR(SUMIF(Bookkeeping!$I$5:$I$1006,'Summary Reports'!$C40,Bookkeeping!$F$5:$F$1006),0)</f>
        <v>0</v>
      </c>
    </row>
    <row r="41" spans="2:4" ht="18" customHeight="1" x14ac:dyDescent="0.25">
      <c r="B41" s="34"/>
      <c r="C41" s="35" t="str">
        <f>IF(Settings!F33&lt;&gt;"",Settings!F33,"")</f>
        <v/>
      </c>
      <c r="D41" s="36">
        <f>IFERROR(SUMIF(Bookkeeping!$I$5:$I$1006,'Summary Reports'!$C41,Bookkeeping!$F$5:$F$1006),0)</f>
        <v>0</v>
      </c>
    </row>
    <row r="42" spans="2:4" ht="18" customHeight="1" x14ac:dyDescent="0.25">
      <c r="B42" s="34"/>
      <c r="C42" s="35" t="str">
        <f>IF(Settings!F34&lt;&gt;"",Settings!F34,"")</f>
        <v/>
      </c>
      <c r="D42" s="36">
        <f>IFERROR(SUMIF(Bookkeeping!$I$5:$I$1006,'Summary Reports'!$C42,Bookkeeping!$F$5:$F$1006),0)</f>
        <v>0</v>
      </c>
    </row>
    <row r="43" spans="2:4" ht="18" customHeight="1" x14ac:dyDescent="0.25">
      <c r="B43" s="34"/>
      <c r="C43" s="39" t="str">
        <f>IF(Settings!F35&lt;&gt;"",Settings!F35,"")</f>
        <v/>
      </c>
      <c r="D43" s="40">
        <f>IFERROR(SUMIF(Bookkeeping!$I$5:$I$1006,'Summary Reports'!$C43,Bookkeeping!$F$5:$F$1006),0)</f>
        <v>0</v>
      </c>
    </row>
    <row r="44" spans="2:4" ht="18" customHeight="1" x14ac:dyDescent="0.3">
      <c r="B44" s="46"/>
      <c r="C44" s="42"/>
      <c r="D44" s="43">
        <f>SUM(D19:D43)</f>
        <v>85674</v>
      </c>
    </row>
    <row r="45" spans="2:4" ht="18" customHeight="1" x14ac:dyDescent="0.3">
      <c r="B45" s="32" t="s">
        <v>101</v>
      </c>
      <c r="C45" s="32"/>
      <c r="D45" s="33">
        <f>D16-D44</f>
        <v>132681</v>
      </c>
    </row>
    <row r="46" spans="2:4" ht="18" customHeight="1" x14ac:dyDescent="0.25">
      <c r="D46" s="47"/>
    </row>
    <row r="47" spans="2:4" ht="18" customHeight="1" x14ac:dyDescent="0.3">
      <c r="B47" s="32" t="s">
        <v>46</v>
      </c>
      <c r="C47" s="32"/>
      <c r="D47" s="33"/>
    </row>
    <row r="48" spans="2:4" ht="18" customHeight="1" x14ac:dyDescent="0.25">
      <c r="B48" s="34" t="s">
        <v>98</v>
      </c>
      <c r="C48" s="35" t="str">
        <f>IF(Settings!F36&lt;&gt;"",Settings!F36,"")</f>
        <v>Interest Income</v>
      </c>
      <c r="D48" s="36">
        <f>IFERROR(SUMIF(Bookkeeping!$I$5:$I$1006,'Summary Reports'!$C48,Bookkeeping!$F$5:$F$1006),0)</f>
        <v>25</v>
      </c>
    </row>
    <row r="49" spans="2:4" ht="18" customHeight="1" x14ac:dyDescent="0.25">
      <c r="B49" s="34" t="s">
        <v>98</v>
      </c>
      <c r="C49" s="35" t="str">
        <f>IF(Settings!F37&lt;&gt;"",Settings!F37,"")</f>
        <v>Other Income</v>
      </c>
      <c r="D49" s="36">
        <f>IFERROR(SUMIF(Bookkeeping!$I$5:$I$1006,'Summary Reports'!$C49,Bookkeeping!$F$5:$F$1006),0)</f>
        <v>0</v>
      </c>
    </row>
    <row r="50" spans="2:4" ht="18" customHeight="1" x14ac:dyDescent="0.25">
      <c r="B50" s="34"/>
      <c r="C50" s="39" t="str">
        <f>IF(Settings!F38&lt;&gt;"",Settings!F38,"")</f>
        <v/>
      </c>
      <c r="D50" s="40">
        <f>IFERROR(SUMIF(Bookkeeping!$I$5:$I$1006,'Summary Reports'!$C50,Bookkeeping!$F$5:$F$1006),0)</f>
        <v>0</v>
      </c>
    </row>
    <row r="51" spans="2:4" ht="18" customHeight="1" x14ac:dyDescent="0.3">
      <c r="B51" s="46"/>
      <c r="C51" s="42"/>
      <c r="D51" s="43">
        <f>SUM(D48:D50)</f>
        <v>25</v>
      </c>
    </row>
    <row r="52" spans="2:4" ht="18" customHeight="1" x14ac:dyDescent="0.3">
      <c r="B52" s="32" t="s">
        <v>102</v>
      </c>
      <c r="C52" s="32"/>
      <c r="D52" s="33">
        <f>D45+D51</f>
        <v>132706</v>
      </c>
    </row>
    <row r="53" spans="2:4" ht="18" customHeight="1" x14ac:dyDescent="0.25">
      <c r="D53" s="47"/>
    </row>
    <row r="54" spans="2:4" ht="18" customHeight="1" x14ac:dyDescent="0.3">
      <c r="B54" s="32" t="s">
        <v>48</v>
      </c>
      <c r="C54" s="32"/>
      <c r="D54" s="33"/>
    </row>
    <row r="55" spans="2:4" ht="18" customHeight="1" x14ac:dyDescent="0.25">
      <c r="B55" s="34"/>
      <c r="C55" s="35" t="str">
        <f>IF(Settings!F39&lt;&gt;"",Settings!F39,"")</f>
        <v>Tax Paid</v>
      </c>
      <c r="D55" s="36">
        <f>IFERROR(SUMIF(Bookkeeping!$I$5:$I$1006,'Summary Reports'!$C55,Bookkeeping!$F$5:$F$1006),0)</f>
        <v>2370</v>
      </c>
    </row>
    <row r="56" spans="2:4" ht="18" customHeight="1" x14ac:dyDescent="0.25">
      <c r="B56" s="34"/>
      <c r="C56" s="39" t="str">
        <f>IF(Settings!F40&lt;&gt;"",Settings!F40,"")</f>
        <v/>
      </c>
      <c r="D56" s="40">
        <f>IFERROR(SUMIF(Bookkeeping!$I$5:$I$1006,'Summary Reports'!$C56,Bookkeeping!$F$5:$F$1006),0)</f>
        <v>0</v>
      </c>
    </row>
    <row r="57" spans="2:4" ht="18" customHeight="1" x14ac:dyDescent="0.3">
      <c r="B57" s="46"/>
      <c r="C57" s="42"/>
      <c r="D57" s="43">
        <f>SUM(D55:D56)</f>
        <v>2370</v>
      </c>
    </row>
    <row r="58" spans="2:4" ht="18" customHeight="1" x14ac:dyDescent="0.3">
      <c r="B58" s="32" t="s">
        <v>103</v>
      </c>
      <c r="C58" s="32"/>
      <c r="D58" s="33">
        <f>D52-D57</f>
        <v>130336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28A-FE6D-4609-A9D9-7B273D222CC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Bookkeeping</vt:lpstr>
      <vt:lpstr>Summary Reports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Ali  Sajid</dc:creator>
  <cp:lastModifiedBy>Muhammad Ali Sajid</cp:lastModifiedBy>
  <dcterms:created xsi:type="dcterms:W3CDTF">2023-09-30T12:05:02Z</dcterms:created>
  <dcterms:modified xsi:type="dcterms:W3CDTF">2026-06-17T19:30:57Z</dcterms:modified>
</cp:coreProperties>
</file>